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4.xml.rels" ContentType="application/vnd.openxmlformats-package.relationships+xml"/>
  <Override PartName="/xl/worksheets/_rels/sheet26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0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MOV-00 Splash" sheetId="2" state="visible" r:id="rId4"/>
    <sheet name="MOV-01 Login móvil" sheetId="3" state="visible" r:id="rId5"/>
    <sheet name="MOV-02 Registro" sheetId="4" state="visible" r:id="rId6"/>
    <sheet name="MOV-03 Recuperar contraseña" sheetId="5" state="visible" r:id="rId7"/>
    <sheet name="MOV-04 Notificaciones" sheetId="6" state="visible" r:id="rId8"/>
    <sheet name="CAN-01 Vacantes" sheetId="7" state="visible" r:id="rId9"/>
    <sheet name="CAN-02 Detalle vacante" sheetId="8" state="visible" r:id="rId10"/>
    <sheet name="CAN-03 Mi perfil" sheetId="9" state="visible" r:id="rId11"/>
    <sheet name="CAN-04 Mi CV" sheetId="10" state="visible" r:id="rId12"/>
    <sheet name="CAN-05 Postulaciones" sheetId="11" state="visible" r:id="rId13"/>
    <sheet name="CAN-06 Detalle postulación" sheetId="12" state="visible" r:id="rId14"/>
    <sheet name="CAN-07 Empresas" sheetId="13" state="visible" r:id="rId15"/>
    <sheet name="REC-01 Organización" sheetId="14" state="visible" r:id="rId16"/>
    <sheet name="REC-02 Mis vacantes" sheetId="15" state="visible" r:id="rId17"/>
    <sheet name="REC-03 Crear vacante" sheetId="16" state="visible" r:id="rId18"/>
    <sheet name="REC-04 Postulados" sheetId="17" state="visible" r:id="rId19"/>
    <sheet name="REC-05 Detalle postulado" sheetId="18" state="visible" r:id="rId20"/>
    <sheet name="REC-06 Agenda" sheetId="19" state="visible" r:id="rId21"/>
    <sheet name="WEB-01 Login web" sheetId="20" state="visible" r:id="rId22"/>
    <sheet name="WEB-02 Dashboard" sheetId="21" state="visible" r:id="rId23"/>
    <sheet name="WEB-03 Usuarios" sheetId="22" state="visible" r:id="rId24"/>
    <sheet name="WEB-04 Empresas" sheetId="23" state="visible" r:id="rId25"/>
    <sheet name="WEB-05 Vacantes" sheetId="24" state="visible" r:id="rId26"/>
    <sheet name="WEB-06 Categ. y habilidades" sheetId="25" state="visible" r:id="rId27"/>
    <sheet name="WEB-07 Catálogos" sheetId="26" state="visible" r:id="rId28"/>
    <sheet name="WEB-08 Reportes-incidencias" sheetId="27" state="visible" r:id="rId29"/>
    <sheet name="API" sheetId="28" state="visible" r:id="rId30"/>
    <sheet name="RNF Accesibilidad" sheetId="29" state="visible" r:id="rId31"/>
    <sheet name="RNF Autenticación" sheetId="30" state="visible" r:id="rId32"/>
    <sheet name="RNF Privacidad" sheetId="31" state="visible" r:id="rId33"/>
    <sheet name="RNF Operativas Móvil" sheetId="32" state="visible" r:id="rId34"/>
    <sheet name="RNF CRUD Web" sheetId="33" state="visible" r:id="rId35"/>
    <sheet name="RNF Dashboard" sheetId="34" state="visible" r:id="rId36"/>
    <sheet name="RNF Notificaciones" sheetId="35" state="visible" r:id="rId37"/>
    <sheet name="RNF API" sheetId="36" state="visible" r:id="rId38"/>
  </sheets>
  <definedNames>
    <definedName function="false" hidden="false" localSheetId="27" name="_xlnm.Print_Area" vbProcedure="false">API!$A$1:$G$51</definedName>
    <definedName function="false" hidden="false" localSheetId="6" name="_xlnm.Print_Area" vbProcedure="false">'CAN-01 Vacantes'!$A$1:$G$47</definedName>
    <definedName function="false" hidden="false" localSheetId="7" name="_xlnm.Print_Area" vbProcedure="false">'CAN-02 Detalle vacante'!$A$1:$G$55</definedName>
    <definedName function="false" hidden="false" localSheetId="8" name="_xlnm.Print_Area" vbProcedure="false">'CAN-03 Mi perfil'!$A$1:$G$53</definedName>
    <definedName function="false" hidden="false" localSheetId="9" name="_xlnm.Print_Area" vbProcedure="false">'CAN-04 Mi CV'!$A$1:$G$52</definedName>
    <definedName function="false" hidden="false" localSheetId="10" name="_xlnm.Print_Area" vbProcedure="false">'CAN-05 Postulaciones'!$A$1:$G$46</definedName>
    <definedName function="false" hidden="false" localSheetId="11" name="_xlnm.Print_Area" vbProcedure="false">'CAN-06 Detalle postulación'!$A$1:$G$51</definedName>
    <definedName function="false" hidden="false" localSheetId="12" name="_xlnm.Print_Area" vbProcedure="false">'CAN-07 Empresas'!$A$1:$G$45</definedName>
    <definedName function="false" hidden="false" localSheetId="1" name="_xlnm.Print_Area" vbProcedure="false">'MOV-00 Splash'!$A$1:$G$43</definedName>
    <definedName function="false" hidden="false" localSheetId="2" name="_xlnm.Print_Area" vbProcedure="false">'MOV-01 Login móvil'!$A$1:$G$51</definedName>
    <definedName function="false" hidden="false" localSheetId="3" name="_xlnm.Print_Area" vbProcedure="false">'MOV-02 Registro'!$A$1:$G$58</definedName>
    <definedName function="false" hidden="false" localSheetId="4" name="_xlnm.Print_Area" vbProcedure="false">'MOV-03 Recuperar contraseña'!$A$1:$G$50</definedName>
    <definedName function="false" hidden="false" localSheetId="5" name="_xlnm.Print_Area" vbProcedure="false">'MOV-04 Notificaciones'!$A$1:$G$51</definedName>
    <definedName function="false" hidden="false" localSheetId="13" name="_xlnm.Print_Area" vbProcedure="false">'REC-01 Organización'!$A$1:$G$46</definedName>
    <definedName function="false" hidden="false" localSheetId="14" name="_xlnm.Print_Area" vbProcedure="false">'REC-02 Mis vacantes'!$A$1:$G$47</definedName>
    <definedName function="false" hidden="false" localSheetId="15" name="_xlnm.Print_Area" vbProcedure="false">'REC-03 Crear vacante'!$A$1:$G$47</definedName>
    <definedName function="false" hidden="false" localSheetId="16" name="_xlnm.Print_Area" vbProcedure="false">'REC-04 Postulados'!$A$1:$G$46</definedName>
    <definedName function="false" hidden="false" localSheetId="17" name="_xlnm.Print_Area" vbProcedure="false">'REC-05 Detalle postulado'!$A$1:$G$57</definedName>
    <definedName function="false" hidden="false" localSheetId="18" name="_xlnm.Print_Area" vbProcedure="false">'REC-06 Agenda'!$A$1:$G$50</definedName>
    <definedName function="false" hidden="false" localSheetId="28" name="_xlnm.Print_Area" vbProcedure="false">'RNF Accesibilidad'!$A$1:$G$30</definedName>
    <definedName function="false" hidden="false" localSheetId="35" name="_xlnm.Print_Area" vbProcedure="false">'RNF API'!$A$1:$G$27</definedName>
    <definedName function="false" hidden="false" localSheetId="29" name="_xlnm.Print_Area" vbProcedure="false">'RNF Autenticación'!$A$1:$G$26</definedName>
    <definedName function="false" hidden="false" localSheetId="32" name="_xlnm.Print_Area" vbProcedure="false">'RNF CRUD Web'!$A$1:$G$26</definedName>
    <definedName function="false" hidden="false" localSheetId="33" name="_xlnm.Print_Area" vbProcedure="false">'RNF Dashboard'!$A$1:$G$25</definedName>
    <definedName function="false" hidden="false" localSheetId="34" name="_xlnm.Print_Area" vbProcedure="false">'RNF Notificaciones'!$A$1:$G$25</definedName>
    <definedName function="false" hidden="false" localSheetId="31" name="_xlnm.Print_Area" vbProcedure="false">'RNF Operativas Móvil'!$A$1:$G$26</definedName>
    <definedName function="false" hidden="false" localSheetId="30" name="_xlnm.Print_Area" vbProcedure="false">'RNF Privacidad'!$A$1:$G$26</definedName>
    <definedName function="false" hidden="false" localSheetId="19" name="_xlnm.Print_Area" vbProcedure="false">'WEB-01 Login web'!$A$1:$G$46</definedName>
    <definedName function="false" hidden="false" localSheetId="20" name="_xlnm.Print_Area" vbProcedure="false">'WEB-02 Dashboard'!$A$1:$G$47</definedName>
    <definedName function="false" hidden="false" localSheetId="21" name="_xlnm.Print_Area" vbProcedure="false">'WEB-03 Usuarios'!$A$1:$G$52</definedName>
    <definedName function="false" hidden="false" localSheetId="22" name="_xlnm.Print_Area" vbProcedure="false">'WEB-04 Empresas'!$A$1:$G$51</definedName>
    <definedName function="false" hidden="false" localSheetId="23" name="_xlnm.Print_Area" vbProcedure="false">'WEB-05 Vacantes'!$A$1:$G$45</definedName>
    <definedName function="false" hidden="false" localSheetId="24" name="_xlnm.Print_Area" vbProcedure="false">'WEB-06 Categ. y habilidades'!$A$1:$G$45</definedName>
    <definedName function="false" hidden="false" localSheetId="25" name="_xlnm.Print_Area" vbProcedure="false">'WEB-07 Catálogos'!$A$1:$G$45</definedName>
    <definedName function="false" hidden="false" localSheetId="26" name="_xlnm.Print_Area" vbProcedure="false">'WEB-08 Reportes-incidencias'!$A$1:$G$51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<sst xmlns="http://schemas.openxmlformats.org/spreadsheetml/2006/main" count="2478" uniqueCount="654">
  <si>
    <t xml:space="preserve">Índice de Requerimientos — IncluTec</t>
  </si>
  <si>
    <t xml:space="preserve">Plataforma web y móvil de vinculación laboral para personas con discapacidad · Estadía ISC · UPQ · Entrega: 28 de octubre de 2026</t>
  </si>
  <si>
    <t xml:space="preserve">Interfaces: Requerimientos Funcionales y No Funcionales por hoja</t>
  </si>
  <si>
    <t xml:space="preserve">#</t>
  </si>
  <si>
    <t xml:space="preserve">Hoja</t>
  </si>
  <si>
    <t xml:space="preserve">Interfaz</t>
  </si>
  <si>
    <t xml:space="preserve">Módulo / Rol</t>
  </si>
  <si>
    <t xml:space="preserve"># RF</t>
  </si>
  <si>
    <t xml:space="preserve"># RNF</t>
  </si>
  <si>
    <t xml:space="preserve">Avance RF</t>
  </si>
  <si>
    <t xml:space="preserve">Ir</t>
  </si>
  <si>
    <t xml:space="preserve">MOV-00 Splash</t>
  </si>
  <si>
    <t xml:space="preserve">MOV-00 — Splash</t>
  </si>
  <si>
    <t xml:space="preserve">Móvil / Compartida</t>
  </si>
  <si>
    <t xml:space="preserve">Abrir →</t>
  </si>
  <si>
    <t xml:space="preserve">MOV-01 Login móvil</t>
  </si>
  <si>
    <t xml:space="preserve">MOV-01 — Inicio de sesión (móvil)</t>
  </si>
  <si>
    <t xml:space="preserve">MOV-02 Registro</t>
  </si>
  <si>
    <t xml:space="preserve">MOV-02 — Registro de cuenta</t>
  </si>
  <si>
    <t xml:space="preserve">MOV-03 Recuperar contraseña</t>
  </si>
  <si>
    <t xml:space="preserve">MOV-03 — Recuperar contraseña</t>
  </si>
  <si>
    <t xml:space="preserve">MOV-04 Notificaciones</t>
  </si>
  <si>
    <t xml:space="preserve">MOV-04 — Notificaciones</t>
  </si>
  <si>
    <t xml:space="preserve">CAN-01 Vacantes</t>
  </si>
  <si>
    <t xml:space="preserve">CAN-01 — Vacantes (inicio del candidato)</t>
  </si>
  <si>
    <t xml:space="preserve">Móvil / Candidato</t>
  </si>
  <si>
    <t xml:space="preserve">CAN-02 Detalle vacante</t>
  </si>
  <si>
    <t xml:space="preserve">CAN-02 — Detalle de vacante</t>
  </si>
  <si>
    <t xml:space="preserve">CAN-03 Mi perfil</t>
  </si>
  <si>
    <t xml:space="preserve">CAN-03 — Mi perfil</t>
  </si>
  <si>
    <t xml:space="preserve">CAN-04 Mi CV</t>
  </si>
  <si>
    <t xml:space="preserve">CAN-04 — Mi CV</t>
  </si>
  <si>
    <t xml:space="preserve">CAN-05 Postulaciones</t>
  </si>
  <si>
    <t xml:space="preserve">CAN-05 — Mis postulaciones</t>
  </si>
  <si>
    <t xml:space="preserve">CAN-06 Detalle postulación</t>
  </si>
  <si>
    <t xml:space="preserve">CAN-06 — Detalle de postulación y entrevista</t>
  </si>
  <si>
    <t xml:space="preserve">CAN-07 Empresas</t>
  </si>
  <si>
    <t xml:space="preserve">CAN-07 — Empresas</t>
  </si>
  <si>
    <t xml:space="preserve">REC-01 Organización</t>
  </si>
  <si>
    <t xml:space="preserve">REC-01 — Perfil de la organización</t>
  </si>
  <si>
    <t xml:space="preserve">Móvil / Reclutador</t>
  </si>
  <si>
    <t xml:space="preserve">REC-02 Mis vacantes</t>
  </si>
  <si>
    <t xml:space="preserve">REC-02 — Mis vacantes</t>
  </si>
  <si>
    <t xml:space="preserve">REC-03 Crear vacante</t>
  </si>
  <si>
    <t xml:space="preserve">REC-03 — Crear / editar vacante</t>
  </si>
  <si>
    <t xml:space="preserve">REC-04 Postulados</t>
  </si>
  <si>
    <t xml:space="preserve">REC-04 — Candidatos postulados</t>
  </si>
  <si>
    <t xml:space="preserve">REC-05 Detalle postulado</t>
  </si>
  <si>
    <t xml:space="preserve">REC-05 — Detalle del postulado</t>
  </si>
  <si>
    <t xml:space="preserve">REC-06 Agenda</t>
  </si>
  <si>
    <t xml:space="preserve">REC-06 — Agenda de entrevistas</t>
  </si>
  <si>
    <t xml:space="preserve">WEB-01 Login web</t>
  </si>
  <si>
    <t xml:space="preserve">WEB-01 — Inicio de sesión (web)</t>
  </si>
  <si>
    <t xml:space="preserve">Web / Administrador</t>
  </si>
  <si>
    <t xml:space="preserve">WEB-02 Dashboard</t>
  </si>
  <si>
    <t xml:space="preserve">WEB-02 — Dashboard y estadísticas</t>
  </si>
  <si>
    <t xml:space="preserve">WEB-03 Usuarios</t>
  </si>
  <si>
    <t xml:space="preserve">WEB-03 — Gestión de usuarios</t>
  </si>
  <si>
    <t xml:space="preserve">WEB-04 Empresas</t>
  </si>
  <si>
    <t xml:space="preserve">WEB-04 — Empresas y validación</t>
  </si>
  <si>
    <t xml:space="preserve">WEB-05 Vacantes</t>
  </si>
  <si>
    <t xml:space="preserve">WEB-05 — Vacantes (moderación)</t>
  </si>
  <si>
    <t xml:space="preserve">WEB-06 Categ. y habilidades</t>
  </si>
  <si>
    <t xml:space="preserve">WEB-06 — Categorías y habilidades</t>
  </si>
  <si>
    <t xml:space="preserve">WEB-07 Catálogos</t>
  </si>
  <si>
    <t xml:space="preserve">WEB-07 — Catálogos</t>
  </si>
  <si>
    <t xml:space="preserve">WEB-08 Reportes-incidencias</t>
  </si>
  <si>
    <t xml:space="preserve">WEB-08 — Reportes e incidencias</t>
  </si>
  <si>
    <t xml:space="preserve">API</t>
  </si>
  <si>
    <t xml:space="preserve">API — FastAPI (objetivos del API)</t>
  </si>
  <si>
    <t xml:space="preserve">Backend</t>
  </si>
  <si>
    <t xml:space="preserve">Total</t>
  </si>
  <si>
    <t xml:space="preserve">Requerimientos No Funcionales generales (fuente de los RNF de cada hoja)</t>
  </si>
  <si>
    <t xml:space="preserve">Grupo</t>
  </si>
  <si>
    <t xml:space="preserve">Aplica a</t>
  </si>
  <si>
    <t xml:space="preserve">Avance</t>
  </si>
  <si>
    <t xml:space="preserve">RNF Accesibilidad</t>
  </si>
  <si>
    <t xml:space="preserve">Accesibilidad (todas las interfaces móviles y web)</t>
  </si>
  <si>
    <t xml:space="preserve">MOV-*, CAN-*, REC-*, WEB-*</t>
  </si>
  <si>
    <t xml:space="preserve">—</t>
  </si>
  <si>
    <t xml:space="preserve">RNF Autenticación</t>
  </si>
  <si>
    <t xml:space="preserve">Inicio de sesión, registro y recuperación</t>
  </si>
  <si>
    <t xml:space="preserve">MOV-01, MOV-02, MOV-03, WEB-01</t>
  </si>
  <si>
    <t xml:space="preserve">RNF Privacidad</t>
  </si>
  <si>
    <t xml:space="preserve">Privacidad y datos sensibles</t>
  </si>
  <si>
    <t xml:space="preserve">MOV-02, CAN-02, CAN-03, CAN-04, REC-05, WEB-03, API</t>
  </si>
  <si>
    <t xml:space="preserve">RNF Operativas Móvil</t>
  </si>
  <si>
    <t xml:space="preserve">Pantallas móviles (compartidas, candidato y reclutador)</t>
  </si>
  <si>
    <t xml:space="preserve">MOV-*, CAN-*, REC-*</t>
  </si>
  <si>
    <t xml:space="preserve">RNF CRUD Web</t>
  </si>
  <si>
    <t xml:space="preserve">Pantallas de administración web</t>
  </si>
  <si>
    <t xml:space="preserve">WEB-03 a WEB-08</t>
  </si>
  <si>
    <t xml:space="preserve">RNF Dashboard</t>
  </si>
  <si>
    <t xml:space="preserve">Dashboard y estadísticas</t>
  </si>
  <si>
    <t xml:space="preserve">WEB-02</t>
  </si>
  <si>
    <t xml:space="preserve">RNF Notificaciones</t>
  </si>
  <si>
    <t xml:space="preserve">Notificaciones (push, correo y en app)</t>
  </si>
  <si>
    <t xml:space="preserve">MOV-04, CAN-06, REC-05, REC-06, WEB-04, WEB-08</t>
  </si>
  <si>
    <t xml:space="preserve">RNF API</t>
  </si>
  <si>
    <t xml:space="preserve">API REST (FastAPI)</t>
  </si>
  <si>
    <t xml:space="preserve">Backend FastAPI</t>
  </si>
  <si>
    <t xml:space="preserve">Simbología de identificadores</t>
  </si>
  <si>
    <t xml:space="preserve">MOV</t>
  </si>
  <si>
    <t xml:space="preserve">Pantallas móviles compartidas por candidato y reclutador</t>
  </si>
  <si>
    <t xml:space="preserve">CAN</t>
  </si>
  <si>
    <t xml:space="preserve">App móvil — rol Candidato</t>
  </si>
  <si>
    <t xml:space="preserve">REC</t>
  </si>
  <si>
    <t xml:space="preserve">App móvil — rol Empresa / Reclutador</t>
  </si>
  <si>
    <t xml:space="preserve">WEB</t>
  </si>
  <si>
    <t xml:space="preserve">Panel web (Laravel) — rol Administrador</t>
  </si>
  <si>
    <t xml:space="preserve">Servicio REST (FastAPI) que comparten la app y el panel</t>
  </si>
  <si>
    <t xml:space="preserve">RNF-XXX</t>
  </si>
  <si>
    <t xml:space="preserve">ACC accesibilidad · AUT autenticación · PRV privacidad · MOV móvil · WEB administración web · DSH dashboard · NOT notificaciones · API</t>
  </si>
  <si>
    <t xml:space="preserve">← Índice</t>
  </si>
  <si>
    <t xml:space="preserve">Requerimientos Funcionales</t>
  </si>
  <si>
    <t xml:space="preserve">Interfaz : MOV-00 — Splash</t>
  </si>
  <si>
    <t xml:space="preserve">ID</t>
  </si>
  <si>
    <t xml:space="preserve">Requerimiento</t>
  </si>
  <si>
    <t xml:space="preserve">Descripción</t>
  </si>
  <si>
    <t xml:space="preserve">Prioridad</t>
  </si>
  <si>
    <t xml:space="preserve">RF-01</t>
  </si>
  <si>
    <t xml:space="preserve">Mostrar splash con logo</t>
  </si>
  <si>
    <t xml:space="preserve">Mostrar la pantalla inicial con el logotipo de IncluTec y un texto alternativo legible por lector de pantalla; duración máxima de 3 s.</t>
  </si>
  <si>
    <t xml:space="preserve">Alta</t>
  </si>
  <si>
    <t xml:space="preserve">RF-02</t>
  </si>
  <si>
    <t xml:space="preserve">Verificar sesión persistente</t>
  </si>
  <si>
    <t xml:space="preserve">Validar el token almacenado contra GET /auth/me; si responde 200, redirigir a la pantalla principal del rol (CAN-01 o REC-02); si responde 401, redirigir a MOV-01.</t>
  </si>
  <si>
    <t xml:space="preserve">Requerimientos No Funcionales</t>
  </si>
  <si>
    <t xml:space="preserve">Interfaz : MOV-00 — Splash  ·  Accesibilidad, Pantallas móviles</t>
  </si>
  <si>
    <t xml:space="preserve">Nombre</t>
  </si>
  <si>
    <t xml:space="preserve">RNF-ACC-01</t>
  </si>
  <si>
    <t xml:space="preserve">RNF-ACC-02</t>
  </si>
  <si>
    <t xml:space="preserve">RNF-ACC-03</t>
  </si>
  <si>
    <t xml:space="preserve">RNF-ACC-04</t>
  </si>
  <si>
    <t xml:space="preserve">RNF-ACC-05</t>
  </si>
  <si>
    <t xml:space="preserve">RNF-ACC-06</t>
  </si>
  <si>
    <t xml:space="preserve">RNF-ACC-07</t>
  </si>
  <si>
    <t xml:space="preserve">RNF-ACC-08</t>
  </si>
  <si>
    <t xml:space="preserve">RNF-ACC-09</t>
  </si>
  <si>
    <t xml:space="preserve">RNF-MOV-01</t>
  </si>
  <si>
    <t xml:space="preserve">RNF-MOV-02</t>
  </si>
  <si>
    <t xml:space="preserve">RNF-MOV-03</t>
  </si>
  <si>
    <t xml:space="preserve">RNF-MOV-04</t>
  </si>
  <si>
    <t xml:space="preserve">RNF-MOV-05</t>
  </si>
  <si>
    <t xml:space="preserve">Los RNF provienen de las hojas generales «RNF …» y se actualizan automáticamente; edita el texto y el avance en su hoja general.</t>
  </si>
  <si>
    <t xml:space="preserve">Elaborado por:</t>
  </si>
  <si>
    <t xml:space="preserve">Alan David Santiago de Vicente, Ricardo Méndez Rodríguez, Eduardo Daniel Licea González</t>
  </si>
  <si>
    <t xml:space="preserve">Responsable:</t>
  </si>
  <si>
    <t xml:space="preserve">Equipo IncluTec — Ingeniería en Sistemas Computacionales</t>
  </si>
  <si>
    <t xml:space="preserve">Dependencias:</t>
  </si>
  <si>
    <t xml:space="preserve">API REST (FastAPI), Base de datos PostgreSQL</t>
  </si>
  <si>
    <t xml:space="preserve">Entrega:</t>
  </si>
  <si>
    <t xml:space="preserve">28 de octubre de 2026</t>
  </si>
  <si>
    <t xml:space="preserve">Acotaciones de Avance</t>
  </si>
  <si>
    <t xml:space="preserve">100%</t>
  </si>
  <si>
    <t xml:space="preserve">Completada</t>
  </si>
  <si>
    <t xml:space="preserve">50%</t>
  </si>
  <si>
    <t xml:space="preserve">En proceso</t>
  </si>
  <si>
    <t xml:space="preserve">0%</t>
  </si>
  <si>
    <t xml:space="preserve">No Iniciada</t>
  </si>
  <si>
    <t xml:space="preserve">Autorizado:</t>
  </si>
  <si>
    <t xml:space="preserve">Interfaz : MOV-01 — Inicio de sesión (móvil)</t>
  </si>
  <si>
    <t xml:space="preserve">Captura de credenciales</t>
  </si>
  <si>
    <t xml:space="preserve">Capturar correo (formato RFC 5322) y contraseña (≥ 8 caracteres); el botón «Iniciar sesión» se habilita solo si ambos campos son válidos. Opción para mostrar u ocultar la contraseña.</t>
  </si>
  <si>
    <t xml:space="preserve">Autenticación contra API</t>
  </si>
  <si>
    <t xml:space="preserve">Enviar las credenciales a POST /auth/login; al recibir 200, almacenar el JWT en expo-secure-store.</t>
  </si>
  <si>
    <t xml:space="preserve">RF-03</t>
  </si>
  <si>
    <t xml:space="preserve">Manejo de errores</t>
  </si>
  <si>
    <t xml:space="preserve">Mostrar un mensaje específico ante 401 («Correo o contraseña incorrectos»), 423 («Cuenta suspendida») o 5xx («Servicio no disponible»), sin exponer detalles técnicos y anunciándolo al lector de pantalla.</t>
  </si>
  <si>
    <t xml:space="preserve">RF-04</t>
  </si>
  <si>
    <t xml:space="preserve">Redirección por rol</t>
  </si>
  <si>
    <t xml:space="preserve">Leer el rol del JWT y navegar a CAN-01 (candidato) o REC-02 (reclutador). Si el rol es «administrador», informar que debe usar el panel web y cerrar la sesión.</t>
  </si>
  <si>
    <t xml:space="preserve">RF-05</t>
  </si>
  <si>
    <t xml:space="preserve">Accesos secundarios</t>
  </si>
  <si>
    <t xml:space="preserve">Mostrar enlaces a MOV-02 (crear cuenta) y MOV-03 (recuperar contraseña).</t>
  </si>
  <si>
    <t xml:space="preserve">Media</t>
  </si>
  <si>
    <t xml:space="preserve">Interfaz : MOV-01 — Inicio de sesión (móvil)  ·  Accesibilidad, Inicio de sesión, registro y recuperación, Pantallas móviles</t>
  </si>
  <si>
    <t xml:space="preserve">RNF-AUT-01</t>
  </si>
  <si>
    <t xml:space="preserve">RNF-AUT-02</t>
  </si>
  <si>
    <t xml:space="preserve">RNF-AUT-03</t>
  </si>
  <si>
    <t xml:space="preserve">RNF-AUT-04</t>
  </si>
  <si>
    <t xml:space="preserve">RNF-AUT-05</t>
  </si>
  <si>
    <t xml:space="preserve">Interfaz : MOV-02 — Registro de cuenta</t>
  </si>
  <si>
    <t xml:space="preserve">Selección de tipo de cuenta</t>
  </si>
  <si>
    <t xml:space="preserve">Permitir elegir entre «Busco empleo» (candidato) y «Represento a una empresa» (reclutador) antes de mostrar el formulario correspondiente.</t>
  </si>
  <si>
    <t xml:space="preserve">Registro de candidato</t>
  </si>
  <si>
    <t xml:space="preserve">Capturar nombre(s), apellidos, correo, teléfono (10 dígitos), municipio/estado y contraseña; enviar a POST /auth/registro/candidato.</t>
  </si>
  <si>
    <t xml:space="preserve">Registro de reclutador y empresa</t>
  </si>
  <si>
    <t xml:space="preserve">Capturar datos del reclutador (nombre, puesto, correo, teléfono, contraseña) y de la empresa (razón social, nombre comercial, RFC de 12 o 13 caracteres, sector, tamaño, municipio/estado); enviar a POST /auth/registro/reclutador. La empresa se crea en estado «pendiente de validación».</t>
  </si>
  <si>
    <t xml:space="preserve">Política de contraseña</t>
  </si>
  <si>
    <t xml:space="preserve">Validar contraseña de 8 a 64 caracteres con al menos una letra y un número, y confirmar que ambas capturas coincidan.</t>
  </si>
  <si>
    <t xml:space="preserve">Aviso de privacidad y consentimiento</t>
  </si>
  <si>
    <t xml:space="preserve">Mostrar el aviso de privacidad y exigir su aceptación. Para candidatos, solicitar además el consentimiento expreso para el tratamiento de datos sobre necesidades de ajuste (dato personal sensible, LFPDPPP); sin él, la cuenta se crea pero esa sección queda deshabilitada.</t>
  </si>
  <si>
    <t xml:space="preserve">RF-06</t>
  </si>
  <si>
    <t xml:space="preserve">Unicidad de correo</t>
  </si>
  <si>
    <t xml:space="preserve">Si el API responde 409, indicar que el correo ya está registrado y ofrecer ir a MOV-01 o MOV-03.</t>
  </si>
  <si>
    <t xml:space="preserve">RF-07</t>
  </si>
  <si>
    <t xml:space="preserve">Inicio tras registro</t>
  </si>
  <si>
    <t xml:space="preserve">Al recibir 201, iniciar sesión automáticamente y dirigir al candidato a CAN-03 (completar perfil) y al reclutador a REC-01 (perfil de la organización).</t>
  </si>
  <si>
    <t xml:space="preserve">Interfaz : MOV-02 — Registro de cuenta  ·  Accesibilidad, Inicio de sesión, registro y recuperación, Privacidad y datos sensibles, Pantallas móviles</t>
  </si>
  <si>
    <t xml:space="preserve">RNF-PRV-01</t>
  </si>
  <si>
    <t xml:space="preserve">RNF-PRV-02</t>
  </si>
  <si>
    <t xml:space="preserve">RNF-PRV-03</t>
  </si>
  <si>
    <t xml:space="preserve">RNF-PRV-04</t>
  </si>
  <si>
    <t xml:space="preserve">RNF-PRV-05</t>
  </si>
  <si>
    <t xml:space="preserve">API REST (FastAPI), Base de datos PostgreSQL; catálogos de sector y tamaño de empresa</t>
  </si>
  <si>
    <t xml:space="preserve">Interfaz : MOV-03 — Recuperar contraseña</t>
  </si>
  <si>
    <t xml:space="preserve">Solicitud de código</t>
  </si>
  <si>
    <t xml:space="preserve">Capturar el correo y enviarlo a POST /auth/password/solicitar; mostrar siempre el mismo mensaje de confirmación, exista o no la cuenta.</t>
  </si>
  <si>
    <t xml:space="preserve">Validación de código</t>
  </si>
  <si>
    <t xml:space="preserve">Capturar el código de 6 dígitos recibido por correo; el código vence a los 15 minutos y admite máximo 5 intentos.</t>
  </si>
  <si>
    <t xml:space="preserve">Nueva contraseña</t>
  </si>
  <si>
    <t xml:space="preserve">Capturar y confirmar la nueva contraseña (misma política que MOV-02) y enviarla a POST /auth/password/restablecer; al recibir 200, regresar a MOV-01 con mensaje de éxito.</t>
  </si>
  <si>
    <t xml:space="preserve">Reenvío de código</t>
  </si>
  <si>
    <t xml:space="preserve">Permitir reenviar el código una vez transcurridos 60 s desde el envío anterior.</t>
  </si>
  <si>
    <t xml:space="preserve">Baja</t>
  </si>
  <si>
    <t xml:space="preserve">Interfaz : MOV-03 — Recuperar contraseña  ·  Accesibilidad, Inicio de sesión, registro y recuperación, Pantallas móviles</t>
  </si>
  <si>
    <t xml:space="preserve">API REST (FastAPI), Base de datos PostgreSQL; servicio de correo (SMTP)</t>
  </si>
  <si>
    <t xml:space="preserve">Interfaz : MOV-04 — Notificaciones</t>
  </si>
  <si>
    <t xml:space="preserve">Registro del dispositivo</t>
  </si>
  <si>
    <t xml:space="preserve">Al iniciar sesión, solicitar permiso de notificaciones y registrar el token con POST /dispositivos.</t>
  </si>
  <si>
    <t xml:space="preserve">Listado de notificaciones</t>
  </si>
  <si>
    <t xml:space="preserve">Listar las notificaciones del usuario vía GET /notificaciones (paginado de 20, más recientes primero) con título, mensaje, fecha y estado leída/no leída.</t>
  </si>
  <si>
    <t xml:space="preserve">Indicador de no leídas</t>
  </si>
  <si>
    <t xml:space="preserve">Mostrar en la barra de navegación un contador de notificaciones no leídas, anunciado por el lector de pantalla (p. ej. «Notificaciones, 3 sin leer»).</t>
  </si>
  <si>
    <t xml:space="preserve">Marcar como leída</t>
  </si>
  <si>
    <t xml:space="preserve">Marcar una notificación como leída al abrirla (PATCH /notificaciones/{id}/leida) y permitir marcar todas (PATCH /notificaciones/leidas).</t>
  </si>
  <si>
    <t xml:space="preserve">Navegación al origen</t>
  </si>
  <si>
    <t xml:space="preserve">Al tocar una notificación, abrir la pantalla relacionada (CAN-06, REC-05, REC-06 o REC-01) con el identificador correspondiente.</t>
  </si>
  <si>
    <t xml:space="preserve">Preferencias de canal</t>
  </si>
  <si>
    <t xml:space="preserve">Permitir activar o desactivar el aviso por push y por correo para cada tipo de evento vía PUT /notificaciones/preferencias.</t>
  </si>
  <si>
    <t xml:space="preserve">Interfaz : MOV-04 — Notificaciones  ·  Accesibilidad, Pantallas móviles, Notificaciones</t>
  </si>
  <si>
    <t xml:space="preserve">RNF-NOT-01</t>
  </si>
  <si>
    <t xml:space="preserve">RNF-NOT-02</t>
  </si>
  <si>
    <t xml:space="preserve">RNF-NOT-03</t>
  </si>
  <si>
    <t xml:space="preserve">RNF-NOT-04</t>
  </si>
  <si>
    <t xml:space="preserve">API REST (FastAPI), Base de datos PostgreSQL; Expo Push Notifications</t>
  </si>
  <si>
    <t xml:space="preserve">Interfaz : CAN-01 — Vacantes (inicio del candidato)</t>
  </si>
  <si>
    <t xml:space="preserve">Vacantes recomendadas</t>
  </si>
  <si>
    <t xml:space="preserve">Mostrar por defecto las vacantes publicadas ordenadas por compatibilidad descendente vía GET /vacantes/recomendadas (paginado de 20 con desplazamiento infinito).</t>
  </si>
  <si>
    <t xml:space="preserve">Búsqueda por texto</t>
  </si>
  <si>
    <t xml:space="preserve">Buscar por puesto, empresa o palabra clave (mínimo 3 caracteres) vía GET /vacantes?q=.</t>
  </si>
  <si>
    <t xml:space="preserve">Filtros</t>
  </si>
  <si>
    <t xml:space="preserve">Filtrar por modalidad, categoría, municipio/estado, jornada, salario mínimo, compatibilidad mínima y ajustes o condiciones de accesibilidad específicas (p. ej. «intérprete de LSM», «acceso con rampa»).</t>
  </si>
  <si>
    <t xml:space="preserve">Filtro «cubre mis necesidades»</t>
  </si>
  <si>
    <t xml:space="preserve">Opción para mostrar solo las vacantes que cubren todas las necesidades de ajuste registradas por el candidato.</t>
  </si>
  <si>
    <t xml:space="preserve">Tarjeta de vacante</t>
  </si>
  <si>
    <t xml:space="preserve">Cada tarjeta muestra puesto, empresa (con distintivo de empresa validada), modalidad, ubicación, porcentaje de compatibilidad e íconos de accesibilidad acompañados de texto.</t>
  </si>
  <si>
    <t xml:space="preserve">Estado vacío y perfil incompleto</t>
  </si>
  <si>
    <t xml:space="preserve">Si no hay resultados, sugerir quitar filtros. Si el perfil está incompleto, mostrar un aviso con acceso a CAN-03 y CAN-04 explicando que las recomendaciones mejoran al completarlo.</t>
  </si>
  <si>
    <t xml:space="preserve">Interfaz : CAN-01 — Vacantes (inicio del candidato)  ·  Accesibilidad, Pantallas móviles</t>
  </si>
  <si>
    <t xml:space="preserve">API REST (FastAPI), Base de datos PostgreSQL; motor de compatibilidad</t>
  </si>
  <si>
    <t xml:space="preserve">Interfaz : CAN-02 — Detalle de vacante</t>
  </si>
  <si>
    <t xml:space="preserve">Información de la vacante</t>
  </si>
  <si>
    <t xml:space="preserve">Obtener GET /vacantes/{id} y mostrar puesto, empresa, descripción, categoría, jornada, tipo de contrato, salario (si la empresa lo publica), ubicación y fecha de publicación.</t>
  </si>
  <si>
    <t xml:space="preserve">Requisitos</t>
  </si>
  <si>
    <t xml:space="preserve">Mostrar habilidades obligatorias y deseables, formación mínima y años de experiencia solicitados.</t>
  </si>
  <si>
    <t xml:space="preserve">Accesibilidad y ajustes</t>
  </si>
  <si>
    <t xml:space="preserve">Mostrar la modalidad, las condiciones de accesibilidad con las que ya cuenta el lugar de trabajo y los ajustes razonables que la empresa puede ofrecer bajo solicitud.</t>
  </si>
  <si>
    <t xml:space="preserve">Desglose de compatibilidad</t>
  </si>
  <si>
    <t xml:space="preserve">Obtener GET /vacantes/{id}/compatibilidad y mostrar el porcentaje con su detalle: habilidades que cumple y que le faltan, necesidades de ajuste cubiertas y no cubiertas, modalidad y formación.</t>
  </si>
  <si>
    <t xml:space="preserve">Postularse</t>
  </si>
  <si>
    <t xml:space="preserve">Enviar POST /postulaciones con {vacante_id, mensaje (opcional, ≤ 500 caracteres), compartir_ajustes}; confirmar antes de enviar. Si el API responde 409, indicar que ya existe una postulación a esa vacante.</t>
  </si>
  <si>
    <t xml:space="preserve">Requisito de perfil mínimo</t>
  </si>
  <si>
    <t xml:space="preserve">Deshabilitar «Postularme» y explicar el motivo si el perfil no tiene nombre, municipio, al menos una habilidad y al menos una formación académica.</t>
  </si>
  <si>
    <t xml:space="preserve">Consentimiento de ajustes</t>
  </si>
  <si>
    <t xml:space="preserve">Antes de postularse, preguntar si desea compartir sus necesidades de ajuste con la empresa; por defecto se toma su preferencia de CAN-03.</t>
  </si>
  <si>
    <t xml:space="preserve">RF-08</t>
  </si>
  <si>
    <t xml:space="preserve">Reportar vacante</t>
  </si>
  <si>
    <t xml:space="preserve">Permitir reportar la vacante (POST /reportes) eligiendo un motivo del catálogo y una descripción opcional (≤ 500 caracteres).</t>
  </si>
  <si>
    <t xml:space="preserve">RF-09</t>
  </si>
  <si>
    <t xml:space="preserve">Ver empresa</t>
  </si>
  <si>
    <t xml:space="preserve">Enlazar a la ficha de la empresa en CAN-07.</t>
  </si>
  <si>
    <t xml:space="preserve">Interfaz : CAN-02 — Detalle de vacante  ·  Accesibilidad, Privacidad y datos sensibles, Pantallas móviles</t>
  </si>
  <si>
    <t xml:space="preserve">API REST (FastAPI), Base de datos PostgreSQL; motor de compatibilidad; CAN-03/CAN-04</t>
  </si>
  <si>
    <t xml:space="preserve">Interfaz : CAN-03 — Mi perfil</t>
  </si>
  <si>
    <t xml:space="preserve">Datos personales</t>
  </si>
  <si>
    <t xml:space="preserve">Consultar y editar nombre, apellidos, teléfono, municipio/estado, foto (opcional, JPG/PNG ≤ 2 MB) y resumen profesional (≤ 500 caracteres) vía GET/PUT /candidatos/me.</t>
  </si>
  <si>
    <t xml:space="preserve">Preferencias laborales</t>
  </si>
  <si>
    <t xml:space="preserve">Registrar modalidades de interés (presencial, remoto, híbrido), categorías de interés, jornada deseada y disponibilidad para reubicarse.</t>
  </si>
  <si>
    <t xml:space="preserve">Necesidades de ajuste</t>
  </si>
  <si>
    <t xml:space="preserve">Seleccionar del catálogo, agrupado por categoría (movilidad, visual, auditiva, comunicación, cognitiva/psicosocial, general), los ajustes que necesita, más una nota libre opcional (≤ 300 caracteres), vía PUT /candidatos/me/necesidades. No se solicita ni almacena diagnóstico ni tipo de discapacidad.</t>
  </si>
  <si>
    <t xml:space="preserve">Visibilidad de ajustes</t>
  </si>
  <si>
    <t xml:space="preserve">Interruptor «Compartir mis necesidades de ajuste con las empresas a las que me postule» (por defecto: preguntar en cada postulación).</t>
  </si>
  <si>
    <t xml:space="preserve">Completitud del perfil</t>
  </si>
  <si>
    <t xml:space="preserve">Mostrar el porcentaje de completitud del perfil y la lista de secciones pendientes.</t>
  </si>
  <si>
    <t xml:space="preserve">Seguridad de la cuenta</t>
  </si>
  <si>
    <t xml:space="preserve">Permitir cambiar la contraseña (PUT /auth/password) y cerrar sesión (POST /auth/logout y borrado del token local).</t>
  </si>
  <si>
    <t xml:space="preserve">Eliminar cuenta</t>
  </si>
  <si>
    <t xml:space="preserve">Permitir la cancelación de la cuenta y de los datos personales (derecho ARCO) vía DELETE /candidatos/me, con doble confirmación.</t>
  </si>
  <si>
    <t xml:space="preserve">Interfaz : CAN-03 — Mi perfil  ·  Accesibilidad, Privacidad y datos sensibles, Pantallas móviles</t>
  </si>
  <si>
    <t xml:space="preserve">API REST (FastAPI), Base de datos PostgreSQL; catálogo de ajustes y condiciones de accesibilidad</t>
  </si>
  <si>
    <t xml:space="preserve">Interfaz : CAN-04 — Mi CV</t>
  </si>
  <si>
    <t xml:space="preserve">Organización en pestañas</t>
  </si>
  <si>
    <t xml:space="preserve">Presentar tres pestañas: Experiencia, Formación y Habilidades, navegables con lector de pantalla y teclado externo.</t>
  </si>
  <si>
    <t xml:space="preserve">Experiencia laboral</t>
  </si>
  <si>
    <t xml:space="preserve">Listar, crear, editar y eliminar experiencias (puesto, empresa, fecha de inicio, fecha de fin o «actual», descripción ≤ 500 caracteres) vía /candidatos/me/experiencias; validar que la fecha de fin sea posterior a la de inicio.</t>
  </si>
  <si>
    <t xml:space="preserve">Formación académica</t>
  </si>
  <si>
    <t xml:space="preserve">Listar, crear, editar y eliminar formaciones (nivel educativo del catálogo, institución, carrera, estado: concluida / en curso / trunca, fechas) vía /candidatos/me/formaciones.</t>
  </si>
  <si>
    <t xml:space="preserve">Habilidades</t>
  </si>
  <si>
    <t xml:space="preserve">Agregar habilidades con autocompletado contra GET /catalogos/habilidades?q=, con nivel (básico, intermedio, avanzado); máximo 30 y sin duplicados, vía /candidatos/me/habilidades.</t>
  </si>
  <si>
    <t xml:space="preserve">Recalcular compatibilidad</t>
  </si>
  <si>
    <t xml:space="preserve">Al guardar cambios en el CV, el API recalcula la compatibilidad del candidato con las vacantes publicadas.</t>
  </si>
  <si>
    <t xml:space="preserve">Vista previa</t>
  </si>
  <si>
    <t xml:space="preserve">Mostrar el CV tal como lo verá una empresa, respetando la configuración de visibilidad de ajustes.</t>
  </si>
  <si>
    <t xml:space="preserve">Interfaz : CAN-04 — Mi CV  ·  Accesibilidad, Privacidad y datos sensibles, Pantallas móviles</t>
  </si>
  <si>
    <t xml:space="preserve">API REST (FastAPI), Base de datos PostgreSQL; catálogos de habilidades y niveles educativos</t>
  </si>
  <si>
    <t xml:space="preserve">Interfaz : CAN-05 — Mis postulaciones</t>
  </si>
  <si>
    <t xml:space="preserve">Listado de postulaciones</t>
  </si>
  <si>
    <t xml:space="preserve">Listar las postulaciones del candidato vía GET /postulaciones/me con puesto, empresa, fecha y estado (postulada, en revisión, entrevista, aceptada, no seleccionada, retirada).</t>
  </si>
  <si>
    <t xml:space="preserve">Filtro por estado</t>
  </si>
  <si>
    <t xml:space="preserve">Filtrar por estado y separar las postulaciones activas de las finalizadas.</t>
  </si>
  <si>
    <t xml:space="preserve">Estado accesible</t>
  </si>
  <si>
    <t xml:space="preserve">Mostrar cada estado con texto e ícono, no solo con color.</t>
  </si>
  <si>
    <t xml:space="preserve">Actualización</t>
  </si>
  <si>
    <t xml:space="preserve">Actualizar el listado al deslizar hacia abajo y al volver a la pantalla.</t>
  </si>
  <si>
    <t xml:space="preserve">Navegación al detalle</t>
  </si>
  <si>
    <t xml:space="preserve">Al seleccionar una postulación, navegar a CAN-06 con su identificador.</t>
  </si>
  <si>
    <t xml:space="preserve">Interfaz : CAN-05 — Mis postulaciones  ·  Accesibilidad, Pantallas móviles</t>
  </si>
  <si>
    <t xml:space="preserve">Interfaz : CAN-06 — Detalle de postulación y entrevista</t>
  </si>
  <si>
    <t xml:space="preserve">Historial de la postulación</t>
  </si>
  <si>
    <t xml:space="preserve">Obtener GET /postulaciones/{id} y mostrar la línea de tiempo de estados con fecha y el mensaje que el reclutador haya dejado en cada cambio.</t>
  </si>
  <si>
    <t xml:space="preserve">Horarios disponibles</t>
  </si>
  <si>
    <t xml:space="preserve">Si el estado es «entrevista», mostrar los horarios libres de la vacante vía GET /horarios-entrevista?vacante_id={id}&amp;disponible=true.</t>
  </si>
  <si>
    <t xml:space="preserve">Agendar entrevista</t>
  </si>
  <si>
    <t xml:space="preserve">Permitir elegir un horario y confirmarlo con POST /postulaciones/{id}/entrevista {horario_id}. Si el API responde 409 (horario ya tomado), refrescar la lista y avisar.</t>
  </si>
  <si>
    <t xml:space="preserve">Datos de la entrevista</t>
  </si>
  <si>
    <t xml:space="preserve">Una vez agendada, mostrar fecha, hora, duración y la liga de Google Meet o Microsoft Teams, con opción para abrirla o copiarla.</t>
  </si>
  <si>
    <t xml:space="preserve">Cancelar entrevista</t>
  </si>
  <si>
    <t xml:space="preserve">Permitir cancelar la entrevista con al menos 24 h de anticipación (DELETE /entrevistas/{id}); el horario vuelve a quedar disponible y se notifica al reclutador.</t>
  </si>
  <si>
    <t xml:space="preserve">Retirar postulación</t>
  </si>
  <si>
    <t xml:space="preserve">Permitir retirar la postulación mientras no esté finalizada (PATCH /postulaciones/{id}/retirar), con confirmación.</t>
  </si>
  <si>
    <t xml:space="preserve">Interfaz : CAN-06 — Detalle de postulación y entrevista  ·  Accesibilidad, Pantallas móviles, Notificaciones</t>
  </si>
  <si>
    <t xml:space="preserve">API REST (FastAPI), Base de datos PostgreSQL; REC-06 (horarios de entrevista); servicio de correo</t>
  </si>
  <si>
    <t xml:space="preserve">Interfaz : CAN-07 — Empresas</t>
  </si>
  <si>
    <t xml:space="preserve">Directorio de empresas</t>
  </si>
  <si>
    <t xml:space="preserve">Listar las empresas validadas vía GET /empresas con búsqueda por nombre y filtro por sector.</t>
  </si>
  <si>
    <t xml:space="preserve">Ficha de empresa</t>
  </si>
  <si>
    <t xml:space="preserve">Mostrar nombre comercial, logotipo, sector, tamaño, ubicación, descripción y compromisos o prácticas de inclusión declarados.</t>
  </si>
  <si>
    <t xml:space="preserve">Vacantes de la empresa</t>
  </si>
  <si>
    <t xml:space="preserve">Listar las vacantes publicadas por la empresa con acceso a CAN-02.</t>
  </si>
  <si>
    <t xml:space="preserve">Reportar empresa</t>
  </si>
  <si>
    <t xml:space="preserve">Permitir reportar la empresa (POST /reportes) con motivo y descripción.</t>
  </si>
  <si>
    <t xml:space="preserve">Interfaz : CAN-07 — Empresas  ·  Accesibilidad, Pantallas móviles</t>
  </si>
  <si>
    <t xml:space="preserve">Interfaz : REC-01 — Perfil de la organización</t>
  </si>
  <si>
    <t xml:space="preserve">Datos de la organización</t>
  </si>
  <si>
    <t xml:space="preserve">Consultar y editar nombre comercial, sector, tamaño, descripción (≤ 1000 caracteres), sitio web, ubicación, logotipo (JPG/PNG ≤ 2 MB) y prácticas de inclusión vía GET/PUT /empresas/me.</t>
  </si>
  <si>
    <t xml:space="preserve">Estado de validación</t>
  </si>
  <si>
    <t xml:space="preserve">Mostrar un aviso con el estado de la empresa (pendiente, validada, rechazada con motivo, suspendida) y lo que implica cada uno.</t>
  </si>
  <si>
    <t xml:space="preserve">Documento de validación</t>
  </si>
  <si>
    <t xml:space="preserve">Permitir subir la constancia de situación fiscal (PDF ≤ 5 MB) vía POST /empresas/me/documento para que el administrador valide la empresa.</t>
  </si>
  <si>
    <t xml:space="preserve">Datos fiscales protegidos</t>
  </si>
  <si>
    <t xml:space="preserve">Una vez validada la empresa, la razón social y el RFC quedan en solo lectura; cualquier cambio se solicita al administrador.</t>
  </si>
  <si>
    <t xml:space="preserve">Permitir cambiar la contraseña y cerrar sesión.</t>
  </si>
  <si>
    <t xml:space="preserve">Interfaz : REC-01 — Perfil de la organización  ·  Accesibilidad, Pantallas móviles</t>
  </si>
  <si>
    <t xml:space="preserve">API REST (FastAPI), Base de datos PostgreSQL; catálogos de sector y tamaño</t>
  </si>
  <si>
    <t xml:space="preserve">Interfaz : REC-02 — Mis vacantes</t>
  </si>
  <si>
    <t xml:space="preserve">Listado de vacantes</t>
  </si>
  <si>
    <t xml:space="preserve">Listar las vacantes de la empresa vía GET /empresas/me/vacantes con título, estado (borrador, publicada, pausada, cerrada, suspendida), número de postulados y postulaciones nuevas.</t>
  </si>
  <si>
    <t xml:space="preserve">Filtrar el listado por estado de la vacante.</t>
  </si>
  <si>
    <t xml:space="preserve">Cambio de estado</t>
  </si>
  <si>
    <t xml:space="preserve">Permitir pausar, reanudar y cerrar una vacante vía PATCH /vacantes/{id}/estado, con confirmación.</t>
  </si>
  <si>
    <t xml:space="preserve">Crear y duplicar</t>
  </si>
  <si>
    <t xml:space="preserve">Botón para crear una vacante (REC-03) y opción para duplicar una existente como borrador (POST /vacantes/{id}/duplicar).</t>
  </si>
  <si>
    <t xml:space="preserve">Restricción por validación</t>
  </si>
  <si>
    <t xml:space="preserve">Si la empresa no está validada, permitir crear borradores pero no publicar, e indicarlo en pantalla.</t>
  </si>
  <si>
    <t xml:space="preserve">Navegación</t>
  </si>
  <si>
    <t xml:space="preserve">Al seleccionar una vacante, ir a REC-04 (postulados); desde el menú de la tarjeta, ir a REC-03 (editar).</t>
  </si>
  <si>
    <t xml:space="preserve">Interfaz : REC-02 — Mis vacantes  ·  Accesibilidad, Pantallas móviles</t>
  </si>
  <si>
    <t xml:space="preserve">Interfaz : REC-03 — Crear / editar vacante</t>
  </si>
  <si>
    <t xml:space="preserve">Datos generales</t>
  </si>
  <si>
    <t xml:space="preserve">Capturar título, categoría, descripción (≤ 2000 caracteres), jornada, tipo de contrato, número de plazas, ubicación y rango salarial opcional con la opción «mostrar salario».</t>
  </si>
  <si>
    <t xml:space="preserve">Seleccionar habilidades del catálogo marcadas como obligatorias o deseables (al menos una obligatoria), formación mínima y años de experiencia.</t>
  </si>
  <si>
    <t xml:space="preserve">Modalidad de trabajo</t>
  </si>
  <si>
    <t xml:space="preserve">Elegir la modalidad (presencial, remoto o híbrido); si es presencial o híbrida, la dirección es obligatoria.</t>
  </si>
  <si>
    <t xml:space="preserve">Accesibilidad obligatoria</t>
  </si>
  <si>
    <t xml:space="preserve">Declarar las condiciones de accesibilidad existentes y los ajustes razonables que la empresa puede ofrecer bajo solicitud, más notas (≤ 500 caracteres). La sección es obligatoria para publicar; si no hay condiciones, se debe declarar explícitamente.</t>
  </si>
  <si>
    <t xml:space="preserve">Guardar o publicar</t>
  </si>
  <si>
    <t xml:space="preserve">Guardar como borrador (POST/PUT /vacantes) o publicar (estado «publicada»). Publicar requiere que la empresa esté validada y que todos los campos obligatorios sean válidos.</t>
  </si>
  <si>
    <t xml:space="preserve">Edición con postulados</t>
  </si>
  <si>
    <t xml:space="preserve">Al modificar requisitos o accesibilidad de una vacante con postulaciones, advertir que la compatibilidad se recalculará y que se avisará a los postulados.</t>
  </si>
  <si>
    <t xml:space="preserve">Interfaz : REC-03 — Crear / editar vacante  ·  Accesibilidad, Pantallas móviles</t>
  </si>
  <si>
    <t xml:space="preserve">API REST (FastAPI), Base de datos PostgreSQL; catálogos (categorías, habilidades, modalidades, jornadas, niveles educativos, ajustes)</t>
  </si>
  <si>
    <t xml:space="preserve">Interfaz : REC-04 — Candidatos postulados</t>
  </si>
  <si>
    <t xml:space="preserve">Listado por vacante</t>
  </si>
  <si>
    <t xml:space="preserve">Listar los postulados de una vacante vía GET /vacantes/{id}/postulaciones, ordenados por compatibilidad laboral descendente.</t>
  </si>
  <si>
    <t xml:space="preserve">Información por postulado</t>
  </si>
  <si>
    <t xml:space="preserve">Mostrar nombre, porcentaje de compatibilidad laboral, estado, fecha de postulación y el indicador «ajustes por confirmar» cuando corresponda.</t>
  </si>
  <si>
    <t xml:space="preserve">Compatibilidad sin sesgo</t>
  </si>
  <si>
    <t xml:space="preserve">La compatibilidad mostrada al reclutador considera solo habilidades, formación y modalidad; las necesidades de ajuste nunca reducen la posición del candidato en la lista.</t>
  </si>
  <si>
    <t xml:space="preserve">Filtrar por estado de la postulación y por compatibilidad mínima.</t>
  </si>
  <si>
    <t xml:space="preserve">Al seleccionar un postulado, navegar a REC-05 con el id de la postulación.</t>
  </si>
  <si>
    <t xml:space="preserve">Interfaz : REC-04 — Candidatos postulados  ·  Accesibilidad, Pantallas móviles</t>
  </si>
  <si>
    <t xml:space="preserve">Interfaz : REC-05 — Detalle del postulado</t>
  </si>
  <si>
    <t xml:space="preserve">CV del candidato</t>
  </si>
  <si>
    <t xml:space="preserve">Obtener GET /postulaciones/{id}/candidato y mostrar resumen, experiencia, formación, habilidades y mensaje de postulación.</t>
  </si>
  <si>
    <t xml:space="preserve">Mostrar las habilidades obligatorias y deseables que cumple y las que no, la formación y la modalidad.</t>
  </si>
  <si>
    <t xml:space="preserve">Si el candidato dio su consentimiento, mostrar sus necesidades de ajuste indicando cuáles ya están cubiertas por la vacante y cuáles requieren confirmación de la empresa.</t>
  </si>
  <si>
    <t xml:space="preserve">Cambiar el estado vía PATCH /postulaciones/{id}/estado solo con transiciones válidas (postulada → en revisión → entrevista → aceptada / no seleccionada), con mensaje opcional para el candidato; el cambio genera notificación.</t>
  </si>
  <si>
    <t xml:space="preserve">Observaciones del proceso</t>
  </si>
  <si>
    <t xml:space="preserve">Registrar y consultar observaciones internas con fecha y autor (POST/GET /postulaciones/{id}/observaciones); no son visibles para el candidato.</t>
  </si>
  <si>
    <t xml:space="preserve">Datos de contacto</t>
  </si>
  <si>
    <t xml:space="preserve">Mostrar el correo y el teléfono del candidato a partir del estado «entrevista».</t>
  </si>
  <si>
    <t xml:space="preserve">Reportar candidato</t>
  </si>
  <si>
    <t xml:space="preserve">Permitir reportar el perfil (POST /reportes) con motivo y descripción.</t>
  </si>
  <si>
    <t xml:space="preserve">Interfaz : REC-05 — Detalle del postulado  ·  Accesibilidad, Privacidad y datos sensibles, Pantallas móviles, Notificaciones</t>
  </si>
  <si>
    <t xml:space="preserve">API REST (FastAPI), Base de datos PostgreSQL; servicio de notificaciones</t>
  </si>
  <si>
    <t xml:space="preserve">Interfaz : REC-06 — Agenda de entrevistas</t>
  </si>
  <si>
    <t xml:space="preserve">Publicar horarios</t>
  </si>
  <si>
    <t xml:space="preserve">Crear horarios de entrevista por vacante con fecha, hora de inicio, duración (30, 45 o 60 min) y liga genérica de Google Meet o Microsoft Teams vía POST /horarios-entrevista; validar que la fecha sea futura y que no se traslapen.</t>
  </si>
  <si>
    <t xml:space="preserve">Agenda</t>
  </si>
  <si>
    <t xml:space="preserve">Listar los horarios propios, libres y agendados, agrupados por día (GET /entrevistas/me), mostrando candidato y vacante en los ocupados.</t>
  </si>
  <si>
    <t xml:space="preserve">Cancelar horario</t>
  </si>
  <si>
    <t xml:space="preserve">Eliminar un horario libre o cancelar uno agendado (con motivo); si estaba agendado, notificar al candidato por app y correo.</t>
  </si>
  <si>
    <t xml:space="preserve">Resultado de la entrevista</t>
  </si>
  <si>
    <t xml:space="preserve">Marcar una entrevista como realizada o «no asistió» (PATCH /entrevistas/{id}).</t>
  </si>
  <si>
    <t xml:space="preserve">Recordatorio</t>
  </si>
  <si>
    <t xml:space="preserve">El sistema envía un recordatorio 24 h antes de la entrevista a ambas partes.</t>
  </si>
  <si>
    <t xml:space="preserve">Interfaz : REC-06 — Agenda de entrevistas  ·  Accesibilidad, Pantallas móviles, Notificaciones</t>
  </si>
  <si>
    <t xml:space="preserve">API REST (FastAPI), Base de datos PostgreSQL; servicio de correo</t>
  </si>
  <si>
    <t xml:space="preserve">Interfaz : WEB-01 — Inicio de sesión (web)</t>
  </si>
  <si>
    <t xml:space="preserve">Capturar correo (RFC 5322) y contraseña (≥ 8 caracteres); deshabilitar el envío hasta que ambos sean válidos.</t>
  </si>
  <si>
    <t xml:space="preserve">Laravel envía las credenciales a POST /auth/login y guarda el JWT en la sesión del servidor; el token nunca se expone al navegador.</t>
  </si>
  <si>
    <t xml:space="preserve">Restricción de rol</t>
  </si>
  <si>
    <t xml:space="preserve">Permitir el acceso solo si el rol es «administrador»; en otro caso, mostrar 403 y cerrar la sesión.</t>
  </si>
  <si>
    <t xml:space="preserve">Mensajes de error</t>
  </si>
  <si>
    <t xml:space="preserve">Manejar 401, 403, 423 y 5xx con mensajes claros sin exponer detalles técnicos.</t>
  </si>
  <si>
    <t xml:space="preserve">Protección de rutas</t>
  </si>
  <si>
    <t xml:space="preserve">Proteger todas las rutas del panel con middleware; si el API responde 401 (token vencido), redirigir a WEB-01.</t>
  </si>
  <si>
    <t xml:space="preserve">Interfaz : WEB-01 — Inicio de sesión (web)  ·  Accesibilidad, Inicio de sesión, registro y recuperación</t>
  </si>
  <si>
    <t xml:space="preserve">API REST (FastAPI), Base de datos PostgreSQL; Laravel como cliente del API</t>
  </si>
  <si>
    <t xml:space="preserve">Interfaz : WEB-02 — Dashboard y estadísticas</t>
  </si>
  <si>
    <t xml:space="preserve">Indicadores clave</t>
  </si>
  <si>
    <t xml:space="preserve">Mostrar candidatos activos, empresas validadas, vacantes publicadas, postulaciones del periodo, contrataciones (postulaciones aceptadas) y tasa de colocación, vía GET /admin/estadisticas/resumen.</t>
  </si>
  <si>
    <t xml:space="preserve">Pendientes de atención</t>
  </si>
  <si>
    <t xml:space="preserve">Mostrar el número de empresas pendientes de validar y de reportes abiertos, con acceso directo a WEB-04 y WEB-08.</t>
  </si>
  <si>
    <t xml:space="preserve">Gráficas de vinculación</t>
  </si>
  <si>
    <t xml:space="preserve">Graficar postulaciones por estado, vacantes por modalidad y categoría, y la evolución mensual de postulaciones y contrataciones.</t>
  </si>
  <si>
    <t xml:space="preserve">Brecha de accesibilidad</t>
  </si>
  <si>
    <t xml:space="preserve">Comparar los ajustes más solicitados por candidatos contra los más ofrecidos en vacantes, y las habilidades más demandadas contra las más registradas.</t>
  </si>
  <si>
    <t xml:space="preserve">Filtros de periodo</t>
  </si>
  <si>
    <t xml:space="preserve">Filtrar todas las métricas por rango de fechas (por defecto, últimos 30 días).</t>
  </si>
  <si>
    <t xml:space="preserve">Exportación</t>
  </si>
  <si>
    <t xml:space="preserve">Exportar el reporte estadístico en PDF y XLSX vía GET /admin/estadisticas/exportar?formato=.</t>
  </si>
  <si>
    <t xml:space="preserve">Datos agregados</t>
  </si>
  <si>
    <t xml:space="preserve">Las estadísticas se presentan solo de forma agregada; no permiten identificar a un candidato ni sus necesidades de ajuste.</t>
  </si>
  <si>
    <t xml:space="preserve">Interfaz : WEB-02 — Dashboard y estadísticas  ·  Accesibilidad, Dashboard y estadísticas</t>
  </si>
  <si>
    <t xml:space="preserve">RNF-DSH-01</t>
  </si>
  <si>
    <t xml:space="preserve">RNF-DSH-02</t>
  </si>
  <si>
    <t xml:space="preserve">RNF-DSH-03</t>
  </si>
  <si>
    <t xml:space="preserve">RNF-DSH-04</t>
  </si>
  <si>
    <t xml:space="preserve">API REST (FastAPI), Base de datos PostgreSQL; librería de gráficas</t>
  </si>
  <si>
    <t xml:space="preserve">Interfaz : WEB-03 — Gestión de usuarios</t>
  </si>
  <si>
    <t xml:space="preserve">Listado paginado</t>
  </si>
  <si>
    <t xml:space="preserve">Listar usuarios vía GET /admin/usuarios?page=&amp;size=25 con nombre, correo, rol, empresa (si aplica), fecha de registro y estado.</t>
  </si>
  <si>
    <t xml:space="preserve">Búsqueda y filtros</t>
  </si>
  <si>
    <t xml:space="preserve">Buscar por nombre o correo y filtrar por rol y estado (activo, suspendido, eliminado).</t>
  </si>
  <si>
    <t xml:space="preserve">Alta de usuario</t>
  </si>
  <si>
    <t xml:space="preserve">Crear usuarios de cualquier rol validando la unicidad del correo; la contraseña se guarda con hash bcrypt (cost ≥ 10).</t>
  </si>
  <si>
    <t xml:space="preserve">Edición</t>
  </si>
  <si>
    <t xml:space="preserve">Editar nombre, correo, teléfono y rol; el cambio de rol de un reclutador requiere desvincularlo de su empresa.</t>
  </si>
  <si>
    <t xml:space="preserve">Suspensión y baja lógica</t>
  </si>
  <si>
    <t xml:space="preserve">Suspender, reactivar o dar de baja lógica un usuario (PATCH /admin/usuarios/{id}/estado) registrando el motivo; nunca se borra físicamente.</t>
  </si>
  <si>
    <t xml:space="preserve">Consulta de detalle</t>
  </si>
  <si>
    <t xml:space="preserve">Ver el detalle del usuario: datos generales, número de postulaciones o vacantes y reportes asociados. No se muestran las necesidades de ajuste del candidato.</t>
  </si>
  <si>
    <t xml:space="preserve">Interfaz : WEB-03 — Gestión de usuarios  ·  Accesibilidad, Privacidad y datos sensibles, Pantallas de administración web</t>
  </si>
  <si>
    <t xml:space="preserve">RNF-WEB-01</t>
  </si>
  <si>
    <t xml:space="preserve">RNF-WEB-02</t>
  </si>
  <si>
    <t xml:space="preserve">RNF-WEB-03</t>
  </si>
  <si>
    <t xml:space="preserve">RNF-WEB-04</t>
  </si>
  <si>
    <t xml:space="preserve">RNF-WEB-05</t>
  </si>
  <si>
    <t xml:space="preserve">Interfaz : WEB-04 — Empresas y validación</t>
  </si>
  <si>
    <t xml:space="preserve">Listado de empresas</t>
  </si>
  <si>
    <t xml:space="preserve">Listar empresas vía GET /admin/empresas con razón social, RFC, sector, reclutadores, vacantes activas y estado (pendiente, validada, rechazada, suspendida).</t>
  </si>
  <si>
    <t xml:space="preserve">Cola de validación</t>
  </si>
  <si>
    <t xml:space="preserve">Mostrar primero las empresas pendientes, ordenadas por antigüedad de la solicitud.</t>
  </si>
  <si>
    <t xml:space="preserve">Revisión y validación</t>
  </si>
  <si>
    <t xml:space="preserve">Mostrar los datos fiscales y el documento cargado; permitir validar o rechazar con motivo obligatorio (PATCH /admin/empresas/{id}/validacion) y notificar al reclutador.</t>
  </si>
  <si>
    <t xml:space="preserve">Validación de RFC</t>
  </si>
  <si>
    <t xml:space="preserve">Verificar que el RFC tenga formato válido y no esté registrado por otra empresa.</t>
  </si>
  <si>
    <t xml:space="preserve">CRUD de empresas</t>
  </si>
  <si>
    <t xml:space="preserve">Crear, editar y dar de baja lógica empresas; permitir corregir razón social y RFC de empresas validadas.</t>
  </si>
  <si>
    <t xml:space="preserve">Suspensión</t>
  </si>
  <si>
    <t xml:space="preserve">Suspender una empresa con motivo; sus vacantes publicadas pasan a «suspendida» y se notifica a los postulados.</t>
  </si>
  <si>
    <t xml:space="preserve">Interfaz : WEB-04 — Empresas y validación  ·  Accesibilidad, Pantallas de administración web, Notificaciones</t>
  </si>
  <si>
    <t xml:space="preserve">Interfaz : WEB-05 — Vacantes (moderación)</t>
  </si>
  <si>
    <t xml:space="preserve">Listado global</t>
  </si>
  <si>
    <t xml:space="preserve">Listar todas las vacantes vía GET /admin/vacantes con título, empresa, estado, fecha de publicación, postulados y número de reportes.</t>
  </si>
  <si>
    <t xml:space="preserve">Filtrar por empresa, estado, categoría, modalidad y «con reportes».</t>
  </si>
  <si>
    <t xml:space="preserve">Detalle</t>
  </si>
  <si>
    <t xml:space="preserve">Consultar el detalle completo de la vacante, incluida la sección de accesibilidad.</t>
  </si>
  <si>
    <t xml:space="preserve">Suspender y reactivar</t>
  </si>
  <si>
    <t xml:space="preserve">Suspender una vacante con motivo (PATCH /admin/vacantes/{id}/estado), notificando al reclutador y a los postulados; permitir reactivarla.</t>
  </si>
  <si>
    <t xml:space="preserve">Interfaz : WEB-05 — Vacantes (moderación)  ·  Accesibilidad, Pantallas de administración web</t>
  </si>
  <si>
    <t xml:space="preserve">Interfaz : WEB-06 — Categorías y habilidades</t>
  </si>
  <si>
    <t xml:space="preserve">Categorías de vacante</t>
  </si>
  <si>
    <t xml:space="preserve">Listar, crear, editar y desactivar categorías (áreas laborales) con nombre único y descripción.</t>
  </si>
  <si>
    <t xml:space="preserve">Listar, crear, editar y desactivar habilidades con nombre único y categoría asociada.</t>
  </si>
  <si>
    <t xml:space="preserve">Protección de integridad</t>
  </si>
  <si>
    <t xml:space="preserve">No permitir eliminar una categoría o habilidad en uso; solo desactivarla, para que deje de ofrecerse en nuevos registros.</t>
  </si>
  <si>
    <t xml:space="preserve">Búsqueda</t>
  </si>
  <si>
    <t xml:space="preserve">Buscar habilidades por nombre y mostrar cuántos candidatos y vacantes las usan.</t>
  </si>
  <si>
    <t xml:space="preserve">Interfaz : WEB-06 — Categorías y habilidades  ·  Accesibilidad, Pantallas de administración web</t>
  </si>
  <si>
    <t xml:space="preserve">Interfaz : WEB-07 — Catálogos</t>
  </si>
  <si>
    <t xml:space="preserve">Ajustes y condiciones de accesibilidad</t>
  </si>
  <si>
    <t xml:space="preserve">Administrar el catálogo de ajustes razonables y condiciones de accesibilidad con nombre, descripción en lenguaje claro y categoría (movilidad, visual, auditiva, comunicación, cognitiva/psicosocial, general).</t>
  </si>
  <si>
    <t xml:space="preserve">Catálogos generales</t>
  </si>
  <si>
    <t xml:space="preserve">Administrar modalidades de trabajo, jornadas, tipos de contrato, niveles educativos, sectores y tamaños de empresa.</t>
  </si>
  <si>
    <t xml:space="preserve">Motivos de reporte</t>
  </si>
  <si>
    <t xml:space="preserve">Administrar los motivos disponibles para reportar vacantes, empresas o candidatos.</t>
  </si>
  <si>
    <t xml:space="preserve">Integridad</t>
  </si>
  <si>
    <t xml:space="preserve">Validar nombres únicos por catálogo y aplicar desactivación en lugar de borrado cuando el registro esté en uso.</t>
  </si>
  <si>
    <t xml:space="preserve">Interfaz : WEB-07 — Catálogos  ·  Accesibilidad, Pantallas de administración web</t>
  </si>
  <si>
    <t xml:space="preserve">Interfaz : WEB-08 — Reportes e incidencias</t>
  </si>
  <si>
    <t xml:space="preserve">Bandeja de reportes</t>
  </si>
  <si>
    <t xml:space="preserve">Listar reportes vía GET /admin/reportes con tipo (vacante, empresa, candidato), motivo, fecha, quién reporta y estado (abierto, en revisión, resuelto, descartado).</t>
  </si>
  <si>
    <t xml:space="preserve">Filtrar por estado, tipo y motivo; ordenar por antigüedad.</t>
  </si>
  <si>
    <t xml:space="preserve">Detalle del reporte</t>
  </si>
  <si>
    <t xml:space="preserve">Mostrar el reporte junto con el elemento reportado y los reportes previos contra el mismo elemento.</t>
  </si>
  <si>
    <t xml:space="preserve">Seguimiento de la incidencia</t>
  </si>
  <si>
    <t xml:space="preserve">Cambiar el estado del reporte registrando una resolución obligatoria al cerrarlo (PATCH /admin/reportes/{id}); cada cambio queda en el historial.</t>
  </si>
  <si>
    <t xml:space="preserve">Acciones derivadas</t>
  </si>
  <si>
    <t xml:space="preserve">Desde el reporte, suspender la vacante, la empresa o el usuario reportado sin salir de la pantalla.</t>
  </si>
  <si>
    <t xml:space="preserve">Aviso a quien reporta</t>
  </si>
  <si>
    <t xml:space="preserve">Notificar a quien reportó cuando su reporte se resuelve o se descarta, sin revelar detalles de la sanción.</t>
  </si>
  <si>
    <t xml:space="preserve">Interfaz : WEB-08 — Reportes e incidencias  ·  Accesibilidad, Pantallas de administración web, Notificaciones</t>
  </si>
  <si>
    <t xml:space="preserve">Interfaz : API — FastAPI (objetivos del API)</t>
  </si>
  <si>
    <t xml:space="preserve">Autenticación y cuentas</t>
  </si>
  <si>
    <t xml:space="preserve">Exponer POST /auth/login, GET /auth/me, POST /auth/logout, registro de candidato y reclutador, recuperación y cambio de contraseña. Emitir JWT firmado HS256 con expiración configurable (por defecto 8 h).</t>
  </si>
  <si>
    <t xml:space="preserve">Autorización por rol y propiedad</t>
  </si>
  <si>
    <t xml:space="preserve">Proteger cada endpoint por rol (candidato, reclutador, administrador) y por propiedad: un reclutador solo accede a vacantes y postulaciones de su empresa, y un candidato solo a sus propios datos.</t>
  </si>
  <si>
    <t xml:space="preserve">Perfil y CV del candidato</t>
  </si>
  <si>
    <t xml:space="preserve">Exponer /candidatos/me con sus subrecursos de experiencias, formaciones, habilidades, preferencias y necesidades de ajuste.</t>
  </si>
  <si>
    <t xml:space="preserve">Empresas y validación</t>
  </si>
  <si>
    <t xml:space="preserve">Exponer /empresas (directorio público de validadas), /empresas/me y /admin/empresas, con el flujo de validación pendiente → validada / rechazada y la suspensión.</t>
  </si>
  <si>
    <t xml:space="preserve">Vacantes y búsqueda</t>
  </si>
  <si>
    <t xml:space="preserve">Exponer el CRUD de vacantes con estados (borrador, publicada, pausada, cerrada, suspendida) y la búsqueda con filtros combinables y paginación.</t>
  </si>
  <si>
    <t xml:space="preserve">Motor de compatibilidad</t>
  </si>
  <si>
    <t xml:space="preserve">Calcular para el candidato C = 0.40·H + 0.30·A + 0.15·M + 0.15·F, donde H = (2·obligatorias cumplidas + deseables cumplidas) / (2·obligatorias + deseables); A = necesidades cubiertas / necesidades registradas (1 si no registró); M = 1 si la modalidad coincide con su preferencia, 0.5 si la vacante es híbrida, 0 en otro caso; F = 1 si cumple la formación mínima, 0.5 si la cursa, 0 si no. Para el reclutador se usa solo (0.40·H + 0.15·M + 0.15·F) / 0.70, sin el componente A.</t>
  </si>
  <si>
    <t xml:space="preserve">Postulaciones y transiciones</t>
  </si>
  <si>
    <t xml:space="preserve">Exponer /postulaciones; validar transiciones de estado permitidas, impedir postulaciones duplicadas y registrar cada cambio en el historial con fecha, usuario y mensaje.</t>
  </si>
  <si>
    <t xml:space="preserve">Entrevistas</t>
  </si>
  <si>
    <t xml:space="preserve">Exponer /horarios-entrevista y /entrevistas; agendar un horario dentro de una transacción con bloqueo, para que dos candidatos no puedan tomar el mismo (409 si ya está ocupado).</t>
  </si>
  <si>
    <t xml:space="preserve">Notificaciones</t>
  </si>
  <si>
    <t xml:space="preserve">Generar notificaciones en la app para cada evento (cambio de estado, entrevista agendada, cancelada o próxima, empresa validada o rechazada, nuevo postulado, reporte resuelto) y enviarlas por push (Expo) y correo (SMTP) en segundo plano según las preferencias del usuario.</t>
  </si>
  <si>
    <t xml:space="preserve">RF-10</t>
  </si>
  <si>
    <t xml:space="preserve">Reportes e incidencias</t>
  </si>
  <si>
    <t xml:space="preserve">Exponer POST /reportes para usuarios autenticados y /admin/reportes para su seguimiento, con historial de estados y acciones de suspensión.</t>
  </si>
  <si>
    <t xml:space="preserve">RF-11</t>
  </si>
  <si>
    <t xml:space="preserve">Catálogos</t>
  </si>
  <si>
    <t xml:space="preserve">Exponer GET /catalogos/{tipo} para las apps y el CRUD /admin/catalogos/{tipo}, /admin/categorias y /admin/habilidades para el administrador.</t>
  </si>
  <si>
    <t xml:space="preserve">RF-12</t>
  </si>
  <si>
    <t xml:space="preserve">Estadísticas y exportación</t>
  </si>
  <si>
    <t xml:space="preserve">Exponer /admin/estadisticas con indicadores agregados y filtros de fecha, y la exportación a PDF y XLSX.</t>
  </si>
  <si>
    <t xml:space="preserve">RF-13</t>
  </si>
  <si>
    <t xml:space="preserve">Contratos consistentes</t>
  </si>
  <si>
    <t xml:space="preserve">Todas las respuestas en JSON; errores con códigos HTTP estándar y cuerpo {"detail": "..."}; listados paginados con {items, total, page, size}.</t>
  </si>
  <si>
    <t xml:space="preserve">Interfaz : API — FastAPI (objetivos del API)  ·  Privacidad y datos sensibles, API REST</t>
  </si>
  <si>
    <t xml:space="preserve">RNF-API-01</t>
  </si>
  <si>
    <t xml:space="preserve">RNF-API-02</t>
  </si>
  <si>
    <t xml:space="preserve">RNF-API-03</t>
  </si>
  <si>
    <t xml:space="preserve">RNF-API-04</t>
  </si>
  <si>
    <t xml:space="preserve">RNF-API-05</t>
  </si>
  <si>
    <t xml:space="preserve">RNF-API-06</t>
  </si>
  <si>
    <t xml:space="preserve">Base de datos PostgreSQL; SMTP; Expo Push</t>
  </si>
  <si>
    <t xml:space="preserve">Interfaz : Accesibilidad (todas las interfaces móviles y web)  ·  aplica a MOV-*, CAN-*, REC-*, WEB-*</t>
  </si>
  <si>
    <t xml:space="preserve">Estándar de accesibilidad</t>
  </si>
  <si>
    <t xml:space="preserve">Las interfaces cumplen las pautas WCAG 2.1 nivel AA.</t>
  </si>
  <si>
    <t xml:space="preserve">Lectores de pantalla</t>
  </si>
  <si>
    <t xml:space="preserve">Todos los elementos interactivos tienen etiqueta, rol y estado accesibles (accessibilityLabel/Role/State en React Native; HTML semántico y ARIA en Laravel) y funcionan con TalkBack, VoiceOver y NVDA.</t>
  </si>
  <si>
    <t xml:space="preserve">Contraste</t>
  </si>
  <si>
    <t xml:space="preserve">Contraste mínimo de 4.5:1 para texto normal y 3:1 para texto grande y componentes de interfaz.</t>
  </si>
  <si>
    <t xml:space="preserve">Texto escalable</t>
  </si>
  <si>
    <t xml:space="preserve">La interfaz respeta el tamaño de fuente del sistema y admite hasta 200 % de ampliación sin pérdida de contenido ni funcionalidad.</t>
  </si>
  <si>
    <t xml:space="preserve">Áreas táctiles</t>
  </si>
  <si>
    <t xml:space="preserve">Los componentes táctiles tienen un área mínima de 48 × 48 dp en Android y 44 × 44 pt en iOS.</t>
  </si>
  <si>
    <t xml:space="preserve">Información no dependiente del color</t>
  </si>
  <si>
    <t xml:space="preserve">Estados, errores y porcentajes se comunican con texto o ícono además del color.</t>
  </si>
  <si>
    <t xml:space="preserve">Navegación por teclado</t>
  </si>
  <si>
    <t xml:space="preserve">El panel web puede operarse completamente con teclado y la app admite teclado externo y control por interruptores (Switch Access / Control por botón), con foco visible y orden lógico.</t>
  </si>
  <si>
    <t xml:space="preserve">Lenguaje claro</t>
  </si>
  <si>
    <t xml:space="preserve">Textos en lenguaje claro y sin tecnicismos; los errores de formulario indican qué campo falla y cómo corregirlo.</t>
  </si>
  <si>
    <t xml:space="preserve">Movimiento reducido</t>
  </si>
  <si>
    <t xml:space="preserve">Se respeta la preferencia de «reducir movimiento» del sistema y no hay contenido parpadeante.</t>
  </si>
  <si>
    <t xml:space="preserve">Aplica a las interfaces del grupo indicado en el campo superior.</t>
  </si>
  <si>
    <t xml:space="preserve">Interfaz : Inicio de sesión, registro y recuperación  ·  aplica a MOV-01, MOV-02, MOV-03, WEB-01</t>
  </si>
  <si>
    <t xml:space="preserve">Seguridad — contraseñas</t>
  </si>
  <si>
    <t xml:space="preserve">Las contraseñas se almacenan únicamente como hash bcrypt (cost ≥ 10); nunca en texto plano ni en registros.</t>
  </si>
  <si>
    <t xml:space="preserve">Seguridad — tokens</t>
  </si>
  <si>
    <t xml:space="preserve">JWT firmado HS256 con expiración de 8 h; transporte HTTPS obligatorio; almacenamiento en expo-secure-store (móvil) y en la sesión del servidor Laravel (web).</t>
  </si>
  <si>
    <t xml:space="preserve">Protección contra fuerza bruta</t>
  </si>
  <si>
    <t xml:space="preserve">Bloqueo temporal de 15 minutos tras 5 intentos fallidos consecutivos por cuenta o por IP.</t>
  </si>
  <si>
    <t xml:space="preserve">Mensajes neutros</t>
  </si>
  <si>
    <t xml:space="preserve">Los mensajes de error no revelan si un correo existe en el sistema.</t>
  </si>
  <si>
    <t xml:space="preserve">Desempeño</t>
  </si>
  <si>
    <t xml:space="preserve">El inicio de sesión responde en ≤ 1.5 s en el percentil 95.</t>
  </si>
  <si>
    <t xml:space="preserve">Interfaz : Privacidad y datos sensibles  ·  aplica a MOV-02, CAN-02, CAN-03, CAN-04, REC-05, WEB-03, API</t>
  </si>
  <si>
    <t xml:space="preserve">Cumplimiento legal</t>
  </si>
  <si>
    <t xml:space="preserve">El tratamiento de datos personales cumple la Ley Federal de Protección de Datos Personales en Posesión de los Particulares, con aviso de privacidad y consentimiento expreso para datos sensibles.</t>
  </si>
  <si>
    <t xml:space="preserve">Minimización de datos</t>
  </si>
  <si>
    <t xml:space="preserve">El sistema registra necesidades de ajuste y no diagnósticos, tipos de discapacidad ni documentos médicos.</t>
  </si>
  <si>
    <t xml:space="preserve">Control del candidato</t>
  </si>
  <si>
    <t xml:space="preserve">Las necesidades de ajuste solo son visibles para el candidato y para las empresas a cuyas vacantes se postuló con consentimiento; el administrador solo ve datos agregados.</t>
  </si>
  <si>
    <t xml:space="preserve">Derechos ARCO</t>
  </si>
  <si>
    <t xml:space="preserve">El candidato puede consultar, corregir y eliminar sus datos; la eliminación anonimiza sus postulaciones históricas en un plazo máximo de 30 días.</t>
  </si>
  <si>
    <t xml:space="preserve">Registros sin datos sensibles</t>
  </si>
  <si>
    <t xml:space="preserve">Los logs del servidor y los mensajes push no incluyen necesidades de ajuste ni datos de contacto.</t>
  </si>
  <si>
    <t xml:space="preserve">Interfaz : Pantallas móviles (compartidas, candidato y reclutador)  ·  aplica a MOV-*, CAN-*, REC-*</t>
  </si>
  <si>
    <t xml:space="preserve">Tiempo de respuesta de las pantallas ≤ 2 s en el percentil 95 sobre red 4G.</t>
  </si>
  <si>
    <t xml:space="preserve">Compatibilidad</t>
  </si>
  <si>
    <t xml:space="preserve">Ejecutable en Android 8+ e iOS 15+ con un solo código base (React Native + Expo).</t>
  </si>
  <si>
    <t xml:space="preserve">Retroalimentación</t>
  </si>
  <si>
    <t xml:space="preserve">Toda acción que tarde más de 300 ms muestra un indicador de carga anunciado al lector de pantalla.</t>
  </si>
  <si>
    <t xml:space="preserve">Tolerancia a fallas de red</t>
  </si>
  <si>
    <t xml:space="preserve">La app conserva en caché el último listado de vacantes y postulaciones y avisa cuando no hay conexión; los formularios no pierden lo capturado.</t>
  </si>
  <si>
    <t xml:space="preserve">Orientación</t>
  </si>
  <si>
    <t xml:space="preserve">Las pantallas funcionan en orientación vertical y horizontal.</t>
  </si>
  <si>
    <t xml:space="preserve">Interfaz : Pantallas de administración web  ·  aplica a WEB-03 a WEB-08</t>
  </si>
  <si>
    <t xml:space="preserve">Listados paginados de 25 registros con tiempo de respuesta ≤ 1 s.</t>
  </si>
  <si>
    <t xml:space="preserve">Validación</t>
  </si>
  <si>
    <t xml:space="preserve">Validación en cliente y servidor con mensajes específicos por campo.</t>
  </si>
  <si>
    <t xml:space="preserve">Funciona en Chrome, Firefox y Edge en sus dos versiones más recientes, en resoluciones desde 1280 px de ancho.</t>
  </si>
  <si>
    <t xml:space="preserve">Auditoría</t>
  </si>
  <si>
    <t xml:space="preserve">Toda creación, edición, validación, suspensión o cambio de estado queda registrado en bitácora con usuario, fecha y hora, valor anterior y valor nuevo.</t>
  </si>
  <si>
    <t xml:space="preserve">Confirmación de acciones críticas</t>
  </si>
  <si>
    <t xml:space="preserve">Suspender, rechazar o dar de baja requiere confirmación y motivo.</t>
  </si>
  <si>
    <t xml:space="preserve">Interfaz : Dashboard y estadísticas  ·  aplica a WEB-02</t>
  </si>
  <si>
    <t xml:space="preserve">Generación de estadísticas de hasta 12 meses de datos en ≤ 5 s.</t>
  </si>
  <si>
    <t xml:space="preserve">La descarga en PDF o XLSX inicia en ≤ 3 s después de la solicitud.</t>
  </si>
  <si>
    <t xml:space="preserve">Gráficas accesibles</t>
  </si>
  <si>
    <t xml:space="preserve">Cada gráfica tiene título, leyenda, valores disponibles como tabla alternativa y colores distinguibles para personas con daltonismo.</t>
  </si>
  <si>
    <t xml:space="preserve">Anonimato</t>
  </si>
  <si>
    <t xml:space="preserve">Los indicadores con menos de 5 registros se agrupan para evitar identificar a personas.</t>
  </si>
  <si>
    <t xml:space="preserve">Interfaz : Notificaciones (push, correo y en app)  ·  aplica a MOV-04, CAN-06, REC-05, REC-06, WEB-04, WEB-08</t>
  </si>
  <si>
    <t xml:space="preserve">Tiempo de entrega</t>
  </si>
  <si>
    <t xml:space="preserve">Las notificaciones push se envían en ≤ 1 min y los correos en ≤ 5 min tras el evento.</t>
  </si>
  <si>
    <t xml:space="preserve">Confiabilidad</t>
  </si>
  <si>
    <t xml:space="preserve">Los envíos fallidos se reintentan hasta 3 veces; el fallo de un canal no bloquea la operación que lo generó.</t>
  </si>
  <si>
    <t xml:space="preserve">Correos accesibles</t>
  </si>
  <si>
    <t xml:space="preserve">Los correos incluyen versión en texto plano, estructura semántica y enlaces descriptivos.</t>
  </si>
  <si>
    <t xml:space="preserve">Contenido mínimo</t>
  </si>
  <si>
    <t xml:space="preserve">Las notificaciones push no incluyen datos personales sensibles; el detalle se consulta dentro de la app.</t>
  </si>
  <si>
    <t xml:space="preserve">Interfaz : API REST (FastAPI)  ·  aplica a Backend FastAPI</t>
  </si>
  <si>
    <t xml:space="preserve">Disponibilidad</t>
  </si>
  <si>
    <t xml:space="preserve">Disponibilidad ≥ 99 % mensual.</t>
  </si>
  <si>
    <t xml:space="preserve">Percentil 95 de latencia ≤ 300 ms en endpoints de operación y ≤ 1 s en búsqueda con compatibilidad y en estadísticas.</t>
  </si>
  <si>
    <t xml:space="preserve">Documentación</t>
  </si>
  <si>
    <t xml:space="preserve">Especificación OpenAPI 3 autogenerada por FastAPI y accesible en /docs; rutas versionadas bajo /api/v1.</t>
  </si>
  <si>
    <t xml:space="preserve">Seguridad</t>
  </si>
  <si>
    <t xml:space="preserve">Todos los endpoints, excepto login, registro y recuperación de contraseña, requieren JWT válido; CORS restringido a los orígenes autorizados; validación de entrada con Pydantic.</t>
  </si>
  <si>
    <t xml:space="preserve">Persistencia atómica</t>
  </si>
  <si>
    <t xml:space="preserve">Las operaciones con varios cambios (agendar entrevista, cambio de estado con historial, suspensión en cascada) se ejecutan en transacciones de PostgreSQL.</t>
  </si>
  <si>
    <t xml:space="preserve">Escalabilidad del cálculo</t>
  </si>
  <si>
    <t xml:space="preserve">La compatibilidad se precalcula y se actualiza cuando cambia el CV del candidato o la vacante, sin recalcular en cada consulta.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</si>
</sst>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Quattrocento Sans"/>
      <family val="0"/>
      <charset val="1"/>
    </font>
    <font>
      <sz val="11"/>
      <name val="Segoe UI"/>
      <family val="0"/>
      <charset val="1"/>
    </font>
    <font>
      <b val="true"/>
      <sz val="13"/>
      <name val="Quattrocento Sans"/>
      <family val="0"/>
      <charset val="1"/>
    </font>
    <font>
      <b val="true"/>
      <sz val="10"/>
      <name val="Quattrocento Sans"/>
      <family val="0"/>
      <charset val="1"/>
    </font>
    <font>
      <sz val="10"/>
      <name val="Quattrocento Sans"/>
      <family val="0"/>
      <charset val="1"/>
    </font>
    <font>
      <u val="single"/>
      <sz val="10"/>
      <color rgb="FF0563C1"/>
      <name val="Quattrocento Sans"/>
      <family val="0"/>
      <charset val="1"/>
    </font>
    <font>
      <b val="true"/>
      <sz val="11"/>
      <name val="Quattrocento Sans"/>
      <family val="0"/>
      <charset val="1"/>
    </font>
    <font>
      <u val="single"/>
      <sz val="9"/>
      <color rgb="FF0563C1"/>
      <name val="Quattrocento Sans"/>
      <family val="0"/>
      <charset val="1"/>
    </font>
    <font>
      <sz val="14"/>
      <color rgb="FF000000"/>
      <name val="Segoe UI"/>
      <family val="0"/>
      <charset val="1"/>
    </font>
    <font>
      <b val="true"/>
      <sz val="11"/>
      <color rgb="FF000000"/>
      <name val="Quattrocento Sans"/>
      <family val="0"/>
      <charset val="1"/>
    </font>
    <font>
      <sz val="11"/>
      <color rgb="FF000000"/>
      <name val="Quattrocento Sans"/>
      <family val="0"/>
      <charset val="1"/>
    </font>
    <font>
      <b val="true"/>
      <sz val="8"/>
      <color rgb="FF000000"/>
      <name val="Quattrocento Sans"/>
      <family val="0"/>
      <charset val="1"/>
    </font>
    <font>
      <b val="true"/>
      <sz val="16"/>
      <color rgb="FF000000"/>
      <name val="Quattrocento Sans"/>
      <family val="0"/>
      <charset val="1"/>
    </font>
    <font>
      <i val="true"/>
      <sz val="9"/>
      <color rgb="FF595959"/>
      <name val="Quattrocento Sans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  <fill>
      <patternFill patternType="solid">
        <fgColor rgb="FFFFF2CC"/>
        <bgColor rgb="FFE2EFDA"/>
      </patternFill>
    </fill>
    <fill>
      <patternFill patternType="solid">
        <fgColor rgb="FFA9D08E"/>
        <bgColor rgb="FFD8D8D8"/>
      </patternFill>
    </fill>
    <fill>
      <patternFill patternType="solid">
        <fgColor rgb="FFD8D8D8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002060"/>
        <bgColor rgb="FF000080"/>
      </patternFill>
    </fill>
    <fill>
      <patternFill patternType="solid">
        <fgColor rgb="FFFFD965"/>
        <bgColor rgb="FFFFCC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7"/>
        </patternFill>
      </fill>
    </dxf>
    <dxf>
      <fill>
        <patternFill>
          <bgColor rgb="FFFFD965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08E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D965"/>
      <rgbColor rgb="FF99CCFF"/>
      <rgbColor rgb="FFFF99CC"/>
      <rgbColor rgb="FFCC99FF"/>
      <rgbColor rgb="FFFF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<Relationship Id="rId2" Type="http://schemas.openxmlformats.org/officeDocument/2006/relationships/hyperlink" Target="Requerimientos_IncluTec_Combinado.xlsx" TargetMode="External"/><Relationship Id="rId3" Type="http://schemas.openxmlformats.org/officeDocument/2006/relationships/hyperlink" Target="Requerimientos_IncluTec_Combinado.xlsx" TargetMode="External"/><Relationship Id="rId4" Type="http://schemas.openxmlformats.org/officeDocument/2006/relationships/hyperlink" Target="Requerimientos_IncluTec_Combinado.xlsx" TargetMode="External"/><Relationship Id="rId5" Type="http://schemas.openxmlformats.org/officeDocument/2006/relationships/hyperlink" Target="Requerimientos_IncluTec_Combinado.xlsx" TargetMode="External"/><Relationship Id="rId6" Type="http://schemas.openxmlformats.org/officeDocument/2006/relationships/hyperlink" Target="Requerimientos_IncluTec_Combinado.xlsx" TargetMode="External"/><Relationship Id="rId7" Type="http://schemas.openxmlformats.org/officeDocument/2006/relationships/hyperlink" Target="Requerimientos_IncluTec_Combinado.xlsx" TargetMode="External"/><Relationship Id="rId8" Type="http://schemas.openxmlformats.org/officeDocument/2006/relationships/hyperlink" Target="Requerimientos_IncluTec_Combinado.xlsx" TargetMode="External"/><Relationship Id="rId9" Type="http://schemas.openxmlformats.org/officeDocument/2006/relationships/hyperlink" Target="Requerimientos_IncluTec_Combinado.xlsx" TargetMode="External"/><Relationship Id="rId10" Type="http://schemas.openxmlformats.org/officeDocument/2006/relationships/hyperlink" Target="Requerimientos_IncluTec_Combinado.xlsx" TargetMode="External"/><Relationship Id="rId11" Type="http://schemas.openxmlformats.org/officeDocument/2006/relationships/hyperlink" Target="Requerimientos_IncluTec_Combinado.xlsx" TargetMode="External"/><Relationship Id="rId12" Type="http://schemas.openxmlformats.org/officeDocument/2006/relationships/hyperlink" Target="Requerimientos_IncluTec_Combinado.xlsx" TargetMode="External"/><Relationship Id="rId13" Type="http://schemas.openxmlformats.org/officeDocument/2006/relationships/hyperlink" Target="Requerimientos_IncluTec_Combinado.xlsx" TargetMode="External"/><Relationship Id="rId14" Type="http://schemas.openxmlformats.org/officeDocument/2006/relationships/hyperlink" Target="Requerimientos_IncluTec_Combinado.xlsx" TargetMode="External"/><Relationship Id="rId15" Type="http://schemas.openxmlformats.org/officeDocument/2006/relationships/hyperlink" Target="Requerimientos_IncluTec_Combinado.xlsx" TargetMode="External"/><Relationship Id="rId16" Type="http://schemas.openxmlformats.org/officeDocument/2006/relationships/hyperlink" Target="Requerimientos_IncluTec_Combinado.xlsx" TargetMode="External"/><Relationship Id="rId17" Type="http://schemas.openxmlformats.org/officeDocument/2006/relationships/hyperlink" Target="Requerimientos_IncluTec_Combinado.xlsx" TargetMode="External"/><Relationship Id="rId18" Type="http://schemas.openxmlformats.org/officeDocument/2006/relationships/hyperlink" Target="Requerimientos_IncluTec_Combinado.xlsx" TargetMode="External"/><Relationship Id="rId19" Type="http://schemas.openxmlformats.org/officeDocument/2006/relationships/hyperlink" Target="Requerimientos_IncluTec_Combinado.xlsx" TargetMode="External"/><Relationship Id="rId20" Type="http://schemas.openxmlformats.org/officeDocument/2006/relationships/hyperlink" Target="Requerimientos_IncluTec_Combinado.xlsx" TargetMode="External"/><Relationship Id="rId21" Type="http://schemas.openxmlformats.org/officeDocument/2006/relationships/hyperlink" Target="Requerimientos_IncluTec_Combinado.xlsx" TargetMode="External"/><Relationship Id="rId22" Type="http://schemas.openxmlformats.org/officeDocument/2006/relationships/hyperlink" Target="Requerimientos_IncluTec_Combinado.xlsx" TargetMode="External"/><Relationship Id="rId23" Type="http://schemas.openxmlformats.org/officeDocument/2006/relationships/hyperlink" Target="Requerimientos_IncluTec_Combinado.xlsx" TargetMode="External"/><Relationship Id="rId24" Type="http://schemas.openxmlformats.org/officeDocument/2006/relationships/hyperlink" Target="Requerimientos_IncluTec_Combinado.xlsx" TargetMode="External"/><Relationship Id="rId25" Type="http://schemas.openxmlformats.org/officeDocument/2006/relationships/hyperlink" Target="Requerimientos_IncluTec_Combinado.xlsx" TargetMode="External"/><Relationship Id="rId26" Type="http://schemas.openxmlformats.org/officeDocument/2006/relationships/hyperlink" Target="Requerimientos_IncluTec_Combinado.xlsx" TargetMode="External"/><Relationship Id="rId27" Type="http://schemas.openxmlformats.org/officeDocument/2006/relationships/hyperlink" Target="Requerimientos_IncluTec_Combinado.xlsx" TargetMode="External"/><Relationship Id="rId28" Type="http://schemas.openxmlformats.org/officeDocument/2006/relationships/hyperlink" Target="Requerimientos_IncluTec_Combinado.xlsx" TargetMode="External"/><Relationship Id="rId29" Type="http://schemas.openxmlformats.org/officeDocument/2006/relationships/hyperlink" Target="Requerimientos_IncluTec_Combinado.xlsx" TargetMode="External"/><Relationship Id="rId30" Type="http://schemas.openxmlformats.org/officeDocument/2006/relationships/hyperlink" Target="Requerimientos_IncluTec_Combinado.xlsx" TargetMode="External"/><Relationship Id="rId31" Type="http://schemas.openxmlformats.org/officeDocument/2006/relationships/hyperlink" Target="Requerimientos_IncluTec_Combinado.xlsx" TargetMode="External"/><Relationship Id="rId32" Type="http://schemas.openxmlformats.org/officeDocument/2006/relationships/hyperlink" Target="Requerimientos_IncluTec_Combinado.xlsx" TargetMode="External"/><Relationship Id="rId33" Type="http://schemas.openxmlformats.org/officeDocument/2006/relationships/hyperlink" Target="Requerimientos_IncluTec_Combinado.xlsx" TargetMode="External"/><Relationship Id="rId34" Type="http://schemas.openxmlformats.org/officeDocument/2006/relationships/hyperlink" Target="Requerimientos_IncluTec_Combinado.xlsx" TargetMode="External"/><Relationship Id="rId35" Type="http://schemas.openxmlformats.org/officeDocument/2006/relationships/hyperlink" Target="Requerimientos_IncluTec_Combinad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Requerimientos_IncluTec_Combinad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2:I5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9" min="6" style="0" width="9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25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21.75" hidden="false" customHeight="true" outlineLevel="0" collapsed="false">
      <c r="B6" s="4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6" t="s">
        <v>10</v>
      </c>
    </row>
    <row r="7" customFormat="false" ht="18" hidden="false" customHeight="true" outlineLevel="0" collapsed="false">
      <c r="B7" s="7" t="n">
        <v>1</v>
      </c>
      <c r="C7" s="8" t="s">
        <v>11</v>
      </c>
      <c r="D7" s="8" t="s">
        <v>12</v>
      </c>
      <c r="E7" s="8" t="s">
        <v>13</v>
      </c>
      <c r="F7" s="9" t="n">
        <f aca="false">COUNTA('MOV-00 Splash'!B6:B7)</f>
        <v>2</v>
      </c>
      <c r="G7" s="9" t="n">
        <f aca="false">COUNTA('MOV-00 Splash'!B13:B26)</f>
        <v>14</v>
      </c>
      <c r="H7" s="10" t="n">
        <f aca="false">AVERAGE('MOV-00 Splash'!F6:F7)</f>
        <v>0</v>
      </c>
      <c r="I7" s="11" t="s">
        <v>14</v>
      </c>
    </row>
    <row r="8" customFormat="false" ht="18" hidden="false" customHeight="true" outlineLevel="0" collapsed="false">
      <c r="B8" s="7" t="n">
        <v>2</v>
      </c>
      <c r="C8" s="8" t="s">
        <v>15</v>
      </c>
      <c r="D8" s="8" t="s">
        <v>16</v>
      </c>
      <c r="E8" s="8" t="s">
        <v>13</v>
      </c>
      <c r="F8" s="9" t="n">
        <f aca="false">COUNTA('MOV-01 Login móvil'!B6:B10)</f>
        <v>5</v>
      </c>
      <c r="G8" s="9" t="n">
        <f aca="false">COUNTA('MOV-01 Login móvil'!B16:B34)</f>
        <v>19</v>
      </c>
      <c r="H8" s="10" t="n">
        <f aca="false">AVERAGE('MOV-01 Login móvil'!F6:F10)</f>
        <v>0</v>
      </c>
      <c r="I8" s="11" t="s">
        <v>14</v>
      </c>
    </row>
    <row r="9" customFormat="false" ht="18" hidden="false" customHeight="true" outlineLevel="0" collapsed="false">
      <c r="B9" s="7" t="n">
        <v>3</v>
      </c>
      <c r="C9" s="8" t="s">
        <v>17</v>
      </c>
      <c r="D9" s="8" t="s">
        <v>18</v>
      </c>
      <c r="E9" s="8" t="s">
        <v>13</v>
      </c>
      <c r="F9" s="9" t="n">
        <f aca="false">COUNTA('MOV-02 Registro'!B6:B12)</f>
        <v>7</v>
      </c>
      <c r="G9" s="9" t="n">
        <f aca="false">COUNTA('MOV-02 Registro'!B18:B41)</f>
        <v>24</v>
      </c>
      <c r="H9" s="10" t="n">
        <f aca="false">AVERAGE('MOV-02 Registro'!F6:F12)</f>
        <v>0</v>
      </c>
      <c r="I9" s="11" t="s">
        <v>14</v>
      </c>
    </row>
    <row r="10" customFormat="false" ht="18" hidden="false" customHeight="true" outlineLevel="0" collapsed="false">
      <c r="B10" s="7" t="n">
        <v>4</v>
      </c>
      <c r="C10" s="8" t="s">
        <v>19</v>
      </c>
      <c r="D10" s="8" t="s">
        <v>20</v>
      </c>
      <c r="E10" s="8" t="s">
        <v>13</v>
      </c>
      <c r="F10" s="9" t="n">
        <f aca="false">COUNTA('MOV-03 Recuperar contraseña'!B6:B9)</f>
        <v>4</v>
      </c>
      <c r="G10" s="9" t="n">
        <f aca="false">COUNTA('MOV-03 Recuperar contraseña'!B15:B33)</f>
        <v>19</v>
      </c>
      <c r="H10" s="10" t="n">
        <f aca="false">AVERAGE('MOV-03 Recuperar contraseña'!F6:F9)</f>
        <v>0</v>
      </c>
      <c r="I10" s="11" t="s">
        <v>14</v>
      </c>
    </row>
    <row r="11" customFormat="false" ht="18" hidden="false" customHeight="true" outlineLevel="0" collapsed="false">
      <c r="B11" s="7" t="n">
        <v>5</v>
      </c>
      <c r="C11" s="8" t="s">
        <v>21</v>
      </c>
      <c r="D11" s="8" t="s">
        <v>22</v>
      </c>
      <c r="E11" s="8" t="s">
        <v>13</v>
      </c>
      <c r="F11" s="9" t="n">
        <f aca="false">COUNTA('MOV-04 Notificaciones'!B6:B11)</f>
        <v>6</v>
      </c>
      <c r="G11" s="9" t="n">
        <f aca="false">COUNTA('MOV-04 Notificaciones'!B17:B34)</f>
        <v>18</v>
      </c>
      <c r="H11" s="10" t="n">
        <f aca="false">AVERAGE('MOV-04 Notificaciones'!F6:F11)</f>
        <v>0</v>
      </c>
      <c r="I11" s="11" t="s">
        <v>14</v>
      </c>
    </row>
    <row r="12" customFormat="false" ht="18" hidden="false" customHeight="true" outlineLevel="0" collapsed="false">
      <c r="B12" s="7" t="n">
        <v>6</v>
      </c>
      <c r="C12" s="8" t="s">
        <v>23</v>
      </c>
      <c r="D12" s="8" t="s">
        <v>24</v>
      </c>
      <c r="E12" s="8" t="s">
        <v>25</v>
      </c>
      <c r="F12" s="9" t="n">
        <f aca="false">COUNTA('CAN-01 Vacantes'!B6:B11)</f>
        <v>6</v>
      </c>
      <c r="G12" s="9" t="n">
        <f aca="false">COUNTA('CAN-01 Vacantes'!B17:B30)</f>
        <v>14</v>
      </c>
      <c r="H12" s="10" t="n">
        <f aca="false">AVERAGE('CAN-01 Vacantes'!F6:F11)</f>
        <v>0</v>
      </c>
      <c r="I12" s="11" t="s">
        <v>14</v>
      </c>
    </row>
    <row r="13" customFormat="false" ht="18" hidden="false" customHeight="true" outlineLevel="0" collapsed="false">
      <c r="B13" s="7" t="n">
        <v>7</v>
      </c>
      <c r="C13" s="8" t="s">
        <v>26</v>
      </c>
      <c r="D13" s="8" t="s">
        <v>27</v>
      </c>
      <c r="E13" s="8" t="s">
        <v>25</v>
      </c>
      <c r="F13" s="9" t="n">
        <f aca="false">COUNTA('CAN-02 Detalle vacante'!B6:B14)</f>
        <v>9</v>
      </c>
      <c r="G13" s="9" t="n">
        <f aca="false">COUNTA('CAN-02 Detalle vacante'!B20:B38)</f>
        <v>19</v>
      </c>
      <c r="H13" s="10" t="n">
        <f aca="false">AVERAGE('CAN-02 Detalle vacante'!F6:F14)</f>
        <v>0</v>
      </c>
      <c r="I13" s="11" t="s">
        <v>14</v>
      </c>
    </row>
    <row r="14" customFormat="false" ht="18" hidden="false" customHeight="true" outlineLevel="0" collapsed="false">
      <c r="B14" s="7" t="n">
        <v>8</v>
      </c>
      <c r="C14" s="8" t="s">
        <v>28</v>
      </c>
      <c r="D14" s="8" t="s">
        <v>29</v>
      </c>
      <c r="E14" s="8" t="s">
        <v>25</v>
      </c>
      <c r="F14" s="9" t="n">
        <f aca="false">COUNTA('CAN-03 Mi perfil'!B6:B12)</f>
        <v>7</v>
      </c>
      <c r="G14" s="9" t="n">
        <f aca="false">COUNTA('CAN-03 Mi perfil'!B18:B36)</f>
        <v>19</v>
      </c>
      <c r="H14" s="10" t="n">
        <f aca="false">AVERAGE('CAN-03 Mi perfil'!F6:F12)</f>
        <v>0</v>
      </c>
      <c r="I14" s="11" t="s">
        <v>14</v>
      </c>
    </row>
    <row r="15" customFormat="false" ht="18" hidden="false" customHeight="true" outlineLevel="0" collapsed="false">
      <c r="B15" s="7" t="n">
        <v>9</v>
      </c>
      <c r="C15" s="8" t="s">
        <v>30</v>
      </c>
      <c r="D15" s="8" t="s">
        <v>31</v>
      </c>
      <c r="E15" s="8" t="s">
        <v>25</v>
      </c>
      <c r="F15" s="9" t="n">
        <f aca="false">COUNTA('CAN-04 Mi CV'!B6:B11)</f>
        <v>6</v>
      </c>
      <c r="G15" s="9" t="n">
        <f aca="false">COUNTA('CAN-04 Mi CV'!B17:B35)</f>
        <v>19</v>
      </c>
      <c r="H15" s="10" t="n">
        <f aca="false">AVERAGE('CAN-04 Mi CV'!F6:F11)</f>
        <v>0</v>
      </c>
      <c r="I15" s="11" t="s">
        <v>14</v>
      </c>
    </row>
    <row r="16" customFormat="false" ht="18" hidden="false" customHeight="true" outlineLevel="0" collapsed="false">
      <c r="B16" s="7" t="n">
        <v>10</v>
      </c>
      <c r="C16" s="8" t="s">
        <v>32</v>
      </c>
      <c r="D16" s="8" t="s">
        <v>33</v>
      </c>
      <c r="E16" s="8" t="s">
        <v>25</v>
      </c>
      <c r="F16" s="9" t="n">
        <f aca="false">COUNTA('CAN-05 Postulaciones'!B6:B10)</f>
        <v>5</v>
      </c>
      <c r="G16" s="9" t="n">
        <f aca="false">COUNTA('CAN-05 Postulaciones'!B16:B29)</f>
        <v>14</v>
      </c>
      <c r="H16" s="10" t="n">
        <f aca="false">AVERAGE('CAN-05 Postulaciones'!F6:F10)</f>
        <v>0</v>
      </c>
      <c r="I16" s="11" t="s">
        <v>14</v>
      </c>
    </row>
    <row r="17" customFormat="false" ht="18" hidden="false" customHeight="true" outlineLevel="0" collapsed="false">
      <c r="B17" s="7" t="n">
        <v>11</v>
      </c>
      <c r="C17" s="8" t="s">
        <v>34</v>
      </c>
      <c r="D17" s="8" t="s">
        <v>35</v>
      </c>
      <c r="E17" s="8" t="s">
        <v>25</v>
      </c>
      <c r="F17" s="9" t="n">
        <f aca="false">COUNTA('CAN-06 Detalle postulación'!B6:B11)</f>
        <v>6</v>
      </c>
      <c r="G17" s="9" t="n">
        <f aca="false">COUNTA('CAN-06 Detalle postulación'!B17:B34)</f>
        <v>18</v>
      </c>
      <c r="H17" s="10" t="n">
        <f aca="false">AVERAGE('CAN-06 Detalle postulación'!F6:F11)</f>
        <v>0</v>
      </c>
      <c r="I17" s="11" t="s">
        <v>14</v>
      </c>
    </row>
    <row r="18" customFormat="false" ht="18" hidden="false" customHeight="true" outlineLevel="0" collapsed="false">
      <c r="B18" s="7" t="n">
        <v>12</v>
      </c>
      <c r="C18" s="8" t="s">
        <v>36</v>
      </c>
      <c r="D18" s="8" t="s">
        <v>37</v>
      </c>
      <c r="E18" s="8" t="s">
        <v>25</v>
      </c>
      <c r="F18" s="9" t="n">
        <f aca="false">COUNTA('CAN-07 Empresas'!B6:B9)</f>
        <v>4</v>
      </c>
      <c r="G18" s="9" t="n">
        <f aca="false">COUNTA('CAN-07 Empresas'!B15:B28)</f>
        <v>14</v>
      </c>
      <c r="H18" s="10" t="n">
        <f aca="false">AVERAGE('CAN-07 Empresas'!F6:F9)</f>
        <v>0</v>
      </c>
      <c r="I18" s="11" t="s">
        <v>14</v>
      </c>
    </row>
    <row r="19" customFormat="false" ht="18" hidden="false" customHeight="true" outlineLevel="0" collapsed="false">
      <c r="B19" s="7" t="n">
        <v>13</v>
      </c>
      <c r="C19" s="8" t="s">
        <v>38</v>
      </c>
      <c r="D19" s="8" t="s">
        <v>39</v>
      </c>
      <c r="E19" s="8" t="s">
        <v>40</v>
      </c>
      <c r="F19" s="9" t="n">
        <f aca="false">COUNTA('REC-01 Organización'!B6:B10)</f>
        <v>5</v>
      </c>
      <c r="G19" s="9" t="n">
        <f aca="false">COUNTA('REC-01 Organización'!B16:B29)</f>
        <v>14</v>
      </c>
      <c r="H19" s="10" t="n">
        <f aca="false">AVERAGE('REC-01 Organización'!F6:F10)</f>
        <v>0</v>
      </c>
      <c r="I19" s="11" t="s">
        <v>14</v>
      </c>
    </row>
    <row r="20" customFormat="false" ht="18" hidden="false" customHeight="true" outlineLevel="0" collapsed="false">
      <c r="B20" s="7" t="n">
        <v>14</v>
      </c>
      <c r="C20" s="8" t="s">
        <v>41</v>
      </c>
      <c r="D20" s="8" t="s">
        <v>42</v>
      </c>
      <c r="E20" s="8" t="s">
        <v>40</v>
      </c>
      <c r="F20" s="9" t="n">
        <f aca="false">COUNTA('REC-02 Mis vacantes'!B6:B11)</f>
        <v>6</v>
      </c>
      <c r="G20" s="9" t="n">
        <f aca="false">COUNTA('REC-02 Mis vacantes'!B17:B30)</f>
        <v>14</v>
      </c>
      <c r="H20" s="10" t="n">
        <f aca="false">AVERAGE('REC-02 Mis vacantes'!F6:F11)</f>
        <v>0</v>
      </c>
      <c r="I20" s="11" t="s">
        <v>14</v>
      </c>
    </row>
    <row r="21" customFormat="false" ht="18" hidden="false" customHeight="true" outlineLevel="0" collapsed="false">
      <c r="B21" s="7" t="n">
        <v>15</v>
      </c>
      <c r="C21" s="8" t="s">
        <v>43</v>
      </c>
      <c r="D21" s="8" t="s">
        <v>44</v>
      </c>
      <c r="E21" s="8" t="s">
        <v>40</v>
      </c>
      <c r="F21" s="9" t="n">
        <f aca="false">COUNTA('REC-03 Crear vacante'!B6:B11)</f>
        <v>6</v>
      </c>
      <c r="G21" s="9" t="n">
        <f aca="false">COUNTA('REC-03 Crear vacante'!B17:B30)</f>
        <v>14</v>
      </c>
      <c r="H21" s="10" t="n">
        <f aca="false">AVERAGE('REC-03 Crear vacante'!F6:F11)</f>
        <v>0</v>
      </c>
      <c r="I21" s="11" t="s">
        <v>14</v>
      </c>
    </row>
    <row r="22" customFormat="false" ht="18" hidden="false" customHeight="true" outlineLevel="0" collapsed="false">
      <c r="B22" s="7" t="n">
        <v>16</v>
      </c>
      <c r="C22" s="8" t="s">
        <v>45</v>
      </c>
      <c r="D22" s="8" t="s">
        <v>46</v>
      </c>
      <c r="E22" s="8" t="s">
        <v>40</v>
      </c>
      <c r="F22" s="9" t="n">
        <f aca="false">COUNTA('REC-04 Postulados'!B6:B10)</f>
        <v>5</v>
      </c>
      <c r="G22" s="9" t="n">
        <f aca="false">COUNTA('REC-04 Postulados'!B16:B29)</f>
        <v>14</v>
      </c>
      <c r="H22" s="10" t="n">
        <f aca="false">AVERAGE('REC-04 Postulados'!F6:F10)</f>
        <v>0</v>
      </c>
      <c r="I22" s="11" t="s">
        <v>14</v>
      </c>
    </row>
    <row r="23" customFormat="false" ht="18" hidden="false" customHeight="true" outlineLevel="0" collapsed="false">
      <c r="B23" s="7" t="n">
        <v>17</v>
      </c>
      <c r="C23" s="8" t="s">
        <v>47</v>
      </c>
      <c r="D23" s="8" t="s">
        <v>48</v>
      </c>
      <c r="E23" s="8" t="s">
        <v>40</v>
      </c>
      <c r="F23" s="9" t="n">
        <f aca="false">COUNTA('REC-05 Detalle postulado'!B6:B12)</f>
        <v>7</v>
      </c>
      <c r="G23" s="9" t="n">
        <f aca="false">COUNTA('REC-05 Detalle postulado'!B18:B40)</f>
        <v>23</v>
      </c>
      <c r="H23" s="10" t="n">
        <f aca="false">AVERAGE('REC-05 Detalle postulado'!F6:F12)</f>
        <v>0</v>
      </c>
      <c r="I23" s="11" t="s">
        <v>14</v>
      </c>
    </row>
    <row r="24" customFormat="false" ht="18" hidden="false" customHeight="true" outlineLevel="0" collapsed="false">
      <c r="B24" s="7" t="n">
        <v>18</v>
      </c>
      <c r="C24" s="8" t="s">
        <v>49</v>
      </c>
      <c r="D24" s="8" t="s">
        <v>50</v>
      </c>
      <c r="E24" s="8" t="s">
        <v>40</v>
      </c>
      <c r="F24" s="9" t="n">
        <f aca="false">COUNTA('REC-06 Agenda'!B6:B10)</f>
        <v>5</v>
      </c>
      <c r="G24" s="9" t="n">
        <f aca="false">COUNTA('REC-06 Agenda'!B16:B33)</f>
        <v>18</v>
      </c>
      <c r="H24" s="10" t="n">
        <f aca="false">AVERAGE('REC-06 Agenda'!F6:F10)</f>
        <v>0</v>
      </c>
      <c r="I24" s="11" t="s">
        <v>14</v>
      </c>
    </row>
    <row r="25" customFormat="false" ht="18" hidden="false" customHeight="true" outlineLevel="0" collapsed="false">
      <c r="B25" s="7" t="n">
        <v>19</v>
      </c>
      <c r="C25" s="8" t="s">
        <v>51</v>
      </c>
      <c r="D25" s="8" t="s">
        <v>52</v>
      </c>
      <c r="E25" s="8" t="s">
        <v>53</v>
      </c>
      <c r="F25" s="9" t="n">
        <f aca="false">COUNTA('WEB-01 Login web'!B6:B10)</f>
        <v>5</v>
      </c>
      <c r="G25" s="9" t="n">
        <f aca="false">COUNTA('WEB-01 Login web'!B16:B29)</f>
        <v>14</v>
      </c>
      <c r="H25" s="10" t="n">
        <f aca="false">AVERAGE('WEB-01 Login web'!F6:F10)</f>
        <v>0</v>
      </c>
      <c r="I25" s="11" t="s">
        <v>14</v>
      </c>
    </row>
    <row r="26" customFormat="false" ht="18" hidden="false" customHeight="true" outlineLevel="0" collapsed="false">
      <c r="B26" s="7" t="n">
        <v>20</v>
      </c>
      <c r="C26" s="8" t="s">
        <v>54</v>
      </c>
      <c r="D26" s="8" t="s">
        <v>55</v>
      </c>
      <c r="E26" s="8" t="s">
        <v>53</v>
      </c>
      <c r="F26" s="9" t="n">
        <f aca="false">COUNTA('WEB-02 Dashboard'!B6:B12)</f>
        <v>7</v>
      </c>
      <c r="G26" s="9" t="n">
        <f aca="false">COUNTA('WEB-02 Dashboard'!B18:B30)</f>
        <v>13</v>
      </c>
      <c r="H26" s="10" t="n">
        <f aca="false">AVERAGE('WEB-02 Dashboard'!F6:F12)</f>
        <v>0</v>
      </c>
      <c r="I26" s="11" t="s">
        <v>14</v>
      </c>
    </row>
    <row r="27" customFormat="false" ht="18" hidden="false" customHeight="true" outlineLevel="0" collapsed="false">
      <c r="B27" s="7" t="n">
        <v>21</v>
      </c>
      <c r="C27" s="8" t="s">
        <v>56</v>
      </c>
      <c r="D27" s="8" t="s">
        <v>57</v>
      </c>
      <c r="E27" s="8" t="s">
        <v>53</v>
      </c>
      <c r="F27" s="9" t="n">
        <f aca="false">COUNTA('WEB-03 Usuarios'!B6:B11)</f>
        <v>6</v>
      </c>
      <c r="G27" s="9" t="n">
        <f aca="false">COUNTA('WEB-03 Usuarios'!B17:B35)</f>
        <v>19</v>
      </c>
      <c r="H27" s="10" t="n">
        <f aca="false">AVERAGE('WEB-03 Usuarios'!F6:F11)</f>
        <v>0</v>
      </c>
      <c r="I27" s="11" t="s">
        <v>14</v>
      </c>
    </row>
    <row r="28" customFormat="false" ht="18" hidden="false" customHeight="true" outlineLevel="0" collapsed="false">
      <c r="B28" s="7" t="n">
        <v>22</v>
      </c>
      <c r="C28" s="8" t="s">
        <v>58</v>
      </c>
      <c r="D28" s="8" t="s">
        <v>59</v>
      </c>
      <c r="E28" s="8" t="s">
        <v>53</v>
      </c>
      <c r="F28" s="9" t="n">
        <f aca="false">COUNTA('WEB-04 Empresas'!B6:B11)</f>
        <v>6</v>
      </c>
      <c r="G28" s="9" t="n">
        <f aca="false">COUNTA('WEB-04 Empresas'!B17:B34)</f>
        <v>18</v>
      </c>
      <c r="H28" s="10" t="n">
        <f aca="false">AVERAGE('WEB-04 Empresas'!F6:F11)</f>
        <v>0</v>
      </c>
      <c r="I28" s="11" t="s">
        <v>14</v>
      </c>
    </row>
    <row r="29" customFormat="false" ht="18" hidden="false" customHeight="true" outlineLevel="0" collapsed="false">
      <c r="B29" s="7" t="n">
        <v>23</v>
      </c>
      <c r="C29" s="8" t="s">
        <v>60</v>
      </c>
      <c r="D29" s="8" t="s">
        <v>61</v>
      </c>
      <c r="E29" s="8" t="s">
        <v>53</v>
      </c>
      <c r="F29" s="9" t="n">
        <f aca="false">COUNTA('WEB-05 Vacantes'!B6:B9)</f>
        <v>4</v>
      </c>
      <c r="G29" s="9" t="n">
        <f aca="false">COUNTA('WEB-05 Vacantes'!B15:B28)</f>
        <v>14</v>
      </c>
      <c r="H29" s="10" t="n">
        <f aca="false">AVERAGE('WEB-05 Vacantes'!F6:F9)</f>
        <v>0</v>
      </c>
      <c r="I29" s="11" t="s">
        <v>14</v>
      </c>
    </row>
    <row r="30" customFormat="false" ht="18" hidden="false" customHeight="true" outlineLevel="0" collapsed="false">
      <c r="B30" s="7" t="n">
        <v>24</v>
      </c>
      <c r="C30" s="8" t="s">
        <v>62</v>
      </c>
      <c r="D30" s="8" t="s">
        <v>63</v>
      </c>
      <c r="E30" s="8" t="s">
        <v>53</v>
      </c>
      <c r="F30" s="9" t="n">
        <f aca="false">COUNTA('WEB-06 Categ. y habilidades'!B6:B9)</f>
        <v>4</v>
      </c>
      <c r="G30" s="9" t="n">
        <f aca="false">COUNTA('WEB-06 Categ. y habilidades'!B15:B28)</f>
        <v>14</v>
      </c>
      <c r="H30" s="10" t="n">
        <f aca="false">AVERAGE('WEB-06 Categ. y habilidades'!F6:F9)</f>
        <v>0</v>
      </c>
      <c r="I30" s="11" t="s">
        <v>14</v>
      </c>
    </row>
    <row r="31" customFormat="false" ht="18" hidden="false" customHeight="true" outlineLevel="0" collapsed="false">
      <c r="B31" s="7" t="n">
        <v>25</v>
      </c>
      <c r="C31" s="8" t="s">
        <v>64</v>
      </c>
      <c r="D31" s="8" t="s">
        <v>65</v>
      </c>
      <c r="E31" s="8" t="s">
        <v>53</v>
      </c>
      <c r="F31" s="9" t="n">
        <f aca="false">COUNTA('WEB-07 Catálogos'!B6:B9)</f>
        <v>4</v>
      </c>
      <c r="G31" s="9" t="n">
        <f aca="false">COUNTA('WEB-07 Catálogos'!B15:B28)</f>
        <v>14</v>
      </c>
      <c r="H31" s="10" t="n">
        <f aca="false">AVERAGE('WEB-07 Catálogos'!F6:F9)</f>
        <v>0</v>
      </c>
      <c r="I31" s="11" t="s">
        <v>14</v>
      </c>
    </row>
    <row r="32" customFormat="false" ht="18" hidden="false" customHeight="true" outlineLevel="0" collapsed="false">
      <c r="B32" s="7" t="n">
        <v>26</v>
      </c>
      <c r="C32" s="8" t="s">
        <v>66</v>
      </c>
      <c r="D32" s="8" t="s">
        <v>67</v>
      </c>
      <c r="E32" s="8" t="s">
        <v>53</v>
      </c>
      <c r="F32" s="9" t="n">
        <f aca="false">COUNTA('WEB-08 Reportes-incidencias'!B6:B11)</f>
        <v>6</v>
      </c>
      <c r="G32" s="9" t="n">
        <f aca="false">COUNTA('WEB-08 Reportes-incidencias'!B17:B34)</f>
        <v>18</v>
      </c>
      <c r="H32" s="10" t="n">
        <f aca="false">AVERAGE('WEB-08 Reportes-incidencias'!F6:F11)</f>
        <v>0</v>
      </c>
      <c r="I32" s="11" t="s">
        <v>14</v>
      </c>
    </row>
    <row r="33" customFormat="false" ht="18" hidden="false" customHeight="true" outlineLevel="0" collapsed="false">
      <c r="B33" s="7" t="n">
        <v>27</v>
      </c>
      <c r="C33" s="8" t="s">
        <v>68</v>
      </c>
      <c r="D33" s="8" t="s">
        <v>69</v>
      </c>
      <c r="E33" s="8" t="s">
        <v>70</v>
      </c>
      <c r="F33" s="9" t="n">
        <f aca="false">COUNTA(API!B6:B18)</f>
        <v>13</v>
      </c>
      <c r="G33" s="9" t="n">
        <f aca="false">COUNTA(API!B24:B34)</f>
        <v>11</v>
      </c>
      <c r="H33" s="10" t="n">
        <f aca="false">AVERAGE(API!F6:F18)</f>
        <v>0</v>
      </c>
      <c r="I33" s="11" t="s">
        <v>14</v>
      </c>
    </row>
    <row r="34" customFormat="false" ht="15" hidden="false" customHeight="false" outlineLevel="0" collapsed="false">
      <c r="B34" s="12" t="s">
        <v>71</v>
      </c>
      <c r="C34" s="12"/>
      <c r="D34" s="12"/>
      <c r="E34" s="12"/>
      <c r="F34" s="13" t="n">
        <f aca="false">SUM(F7:F33)</f>
        <v>156</v>
      </c>
      <c r="G34" s="13" t="n">
        <f aca="false">SUM(G7:G33)</f>
        <v>443</v>
      </c>
      <c r="H34" s="14" t="n">
        <f aca="false">AVERAGE(H7:H33)</f>
        <v>0</v>
      </c>
      <c r="I34" s="15"/>
    </row>
    <row r="37" customFormat="false" ht="25.5" hidden="false" customHeight="true" outlineLevel="0" collapsed="false">
      <c r="B37" s="3" t="s">
        <v>72</v>
      </c>
      <c r="C37" s="3"/>
      <c r="D37" s="3"/>
      <c r="E37" s="3"/>
      <c r="F37" s="3"/>
      <c r="G37" s="3"/>
      <c r="H37" s="3"/>
      <c r="I37" s="3"/>
    </row>
    <row r="38" customFormat="false" ht="21.75" hidden="false" customHeight="true" outlineLevel="0" collapsed="false">
      <c r="B38" s="4" t="s">
        <v>3</v>
      </c>
      <c r="C38" s="5" t="s">
        <v>4</v>
      </c>
      <c r="D38" s="5" t="s">
        <v>73</v>
      </c>
      <c r="E38" s="5" t="s">
        <v>74</v>
      </c>
      <c r="F38" s="5" t="s">
        <v>8</v>
      </c>
      <c r="G38" s="5"/>
      <c r="H38" s="5" t="s">
        <v>75</v>
      </c>
      <c r="I38" s="6" t="s">
        <v>10</v>
      </c>
    </row>
    <row r="39" customFormat="false" ht="18" hidden="false" customHeight="true" outlineLevel="0" collapsed="false">
      <c r="B39" s="7" t="n">
        <v>1</v>
      </c>
      <c r="C39" s="8" t="s">
        <v>76</v>
      </c>
      <c r="D39" s="8" t="s">
        <v>77</v>
      </c>
      <c r="E39" s="8" t="s">
        <v>78</v>
      </c>
      <c r="F39" s="9" t="n">
        <f aca="false">COUNTA('RNF Accesibilidad'!B6:B14)</f>
        <v>9</v>
      </c>
      <c r="G39" s="9" t="s">
        <v>79</v>
      </c>
      <c r="H39" s="10" t="n">
        <f aca="false">AVERAGE('RNF Accesibilidad'!F6:F14)</f>
        <v>0</v>
      </c>
      <c r="I39" s="11" t="s">
        <v>14</v>
      </c>
    </row>
    <row r="40" customFormat="false" ht="18" hidden="false" customHeight="true" outlineLevel="0" collapsed="false">
      <c r="B40" s="7" t="n">
        <v>2</v>
      </c>
      <c r="C40" s="8" t="s">
        <v>80</v>
      </c>
      <c r="D40" s="8" t="s">
        <v>81</v>
      </c>
      <c r="E40" s="8" t="s">
        <v>82</v>
      </c>
      <c r="F40" s="9" t="n">
        <f aca="false">COUNTA('RNF Autenticación'!B6:B10)</f>
        <v>5</v>
      </c>
      <c r="G40" s="9" t="s">
        <v>79</v>
      </c>
      <c r="H40" s="10" t="n">
        <f aca="false">AVERAGE('RNF Autenticación'!F6:F10)</f>
        <v>0</v>
      </c>
      <c r="I40" s="11" t="s">
        <v>14</v>
      </c>
    </row>
    <row r="41" customFormat="false" ht="30" hidden="false" customHeight="true" outlineLevel="0" collapsed="false">
      <c r="B41" s="7" t="n">
        <v>3</v>
      </c>
      <c r="C41" s="8" t="s">
        <v>83</v>
      </c>
      <c r="D41" s="8" t="s">
        <v>84</v>
      </c>
      <c r="E41" s="8" t="s">
        <v>85</v>
      </c>
      <c r="F41" s="9" t="n">
        <f aca="false">COUNTA('RNF Privacidad'!B6:B10)</f>
        <v>5</v>
      </c>
      <c r="G41" s="9" t="s">
        <v>79</v>
      </c>
      <c r="H41" s="10" t="n">
        <f aca="false">AVERAGE('RNF Privacidad'!F6:F10)</f>
        <v>0</v>
      </c>
      <c r="I41" s="11" t="s">
        <v>14</v>
      </c>
    </row>
    <row r="42" customFormat="false" ht="30" hidden="false" customHeight="true" outlineLevel="0" collapsed="false">
      <c r="B42" s="7" t="n">
        <v>4</v>
      </c>
      <c r="C42" s="8" t="s">
        <v>86</v>
      </c>
      <c r="D42" s="8" t="s">
        <v>87</v>
      </c>
      <c r="E42" s="8" t="s">
        <v>88</v>
      </c>
      <c r="F42" s="9" t="n">
        <f aca="false">COUNTA('RNF Operativas Móvil'!B6:B10)</f>
        <v>5</v>
      </c>
      <c r="G42" s="9" t="s">
        <v>79</v>
      </c>
      <c r="H42" s="10" t="n">
        <f aca="false">AVERAGE('RNF Operativas Móvil'!F6:F10)</f>
        <v>0</v>
      </c>
      <c r="I42" s="11" t="s">
        <v>14</v>
      </c>
    </row>
    <row r="43" customFormat="false" ht="18" hidden="false" customHeight="true" outlineLevel="0" collapsed="false">
      <c r="B43" s="7" t="n">
        <v>5</v>
      </c>
      <c r="C43" s="8" t="s">
        <v>89</v>
      </c>
      <c r="D43" s="8" t="s">
        <v>90</v>
      </c>
      <c r="E43" s="8" t="s">
        <v>91</v>
      </c>
      <c r="F43" s="9" t="n">
        <f aca="false">COUNTA('RNF CRUD Web'!B6:B10)</f>
        <v>5</v>
      </c>
      <c r="G43" s="9" t="s">
        <v>79</v>
      </c>
      <c r="H43" s="10" t="n">
        <f aca="false">AVERAGE('RNF CRUD Web'!F6:F10)</f>
        <v>0</v>
      </c>
      <c r="I43" s="11" t="s">
        <v>14</v>
      </c>
    </row>
    <row r="44" customFormat="false" ht="18" hidden="false" customHeight="true" outlineLevel="0" collapsed="false">
      <c r="B44" s="7" t="n">
        <v>6</v>
      </c>
      <c r="C44" s="8" t="s">
        <v>92</v>
      </c>
      <c r="D44" s="8" t="s">
        <v>93</v>
      </c>
      <c r="E44" s="8" t="s">
        <v>94</v>
      </c>
      <c r="F44" s="9" t="n">
        <f aca="false">COUNTA('RNF Dashboard'!B6:B9)</f>
        <v>4</v>
      </c>
      <c r="G44" s="9" t="s">
        <v>79</v>
      </c>
      <c r="H44" s="10" t="n">
        <f aca="false">AVERAGE('RNF Dashboard'!F6:F9)</f>
        <v>0</v>
      </c>
      <c r="I44" s="11" t="s">
        <v>14</v>
      </c>
    </row>
    <row r="45" customFormat="false" ht="18" hidden="false" customHeight="true" outlineLevel="0" collapsed="false">
      <c r="B45" s="7" t="n">
        <v>7</v>
      </c>
      <c r="C45" s="8" t="s">
        <v>95</v>
      </c>
      <c r="D45" s="8" t="s">
        <v>96</v>
      </c>
      <c r="E45" s="8" t="s">
        <v>97</v>
      </c>
      <c r="F45" s="9" t="n">
        <f aca="false">COUNTA('RNF Notificaciones'!B6:B9)</f>
        <v>4</v>
      </c>
      <c r="G45" s="9" t="s">
        <v>79</v>
      </c>
      <c r="H45" s="10" t="n">
        <f aca="false">AVERAGE('RNF Notificaciones'!F6:F9)</f>
        <v>0</v>
      </c>
      <c r="I45" s="11" t="s">
        <v>14</v>
      </c>
    </row>
    <row r="46" customFormat="false" ht="18" hidden="false" customHeight="true" outlineLevel="0" collapsed="false">
      <c r="B46" s="7" t="n">
        <v>8</v>
      </c>
      <c r="C46" s="8" t="s">
        <v>98</v>
      </c>
      <c r="D46" s="8" t="s">
        <v>99</v>
      </c>
      <c r="E46" s="8" t="s">
        <v>100</v>
      </c>
      <c r="F46" s="9" t="n">
        <f aca="false">COUNTA('RNF API'!B6:B11)</f>
        <v>6</v>
      </c>
      <c r="G46" s="9" t="s">
        <v>79</v>
      </c>
      <c r="H46" s="10" t="n">
        <f aca="false">AVERAGE('RNF API'!F6:F11)</f>
        <v>0</v>
      </c>
      <c r="I46" s="11" t="s">
        <v>14</v>
      </c>
    </row>
    <row r="47" customFormat="false" ht="15" hidden="false" customHeight="false" outlineLevel="0" collapsed="false">
      <c r="B47" s="12" t="s">
        <v>71</v>
      </c>
      <c r="C47" s="12"/>
      <c r="D47" s="12"/>
      <c r="E47" s="12"/>
      <c r="F47" s="13" t="n">
        <f aca="false">SUM(F39:F46)</f>
        <v>43</v>
      </c>
      <c r="G47" s="13" t="s">
        <v>79</v>
      </c>
      <c r="H47" s="14" t="n">
        <f aca="false">AVERAGE(H39:H46)</f>
        <v>0</v>
      </c>
      <c r="I47" s="15"/>
    </row>
    <row r="50" customFormat="false" ht="15" hidden="false" customHeight="false" outlineLevel="0" collapsed="false">
      <c r="B50" s="16" t="s">
        <v>101</v>
      </c>
      <c r="C50" s="16"/>
      <c r="D50" s="16"/>
    </row>
    <row r="51" customFormat="false" ht="15" hidden="false" customHeight="true" outlineLevel="0" collapsed="false">
      <c r="B51" s="17" t="s">
        <v>102</v>
      </c>
      <c r="C51" s="18" t="s">
        <v>103</v>
      </c>
      <c r="D51" s="18"/>
    </row>
    <row r="52" customFormat="false" ht="15" hidden="false" customHeight="true" outlineLevel="0" collapsed="false">
      <c r="B52" s="17" t="s">
        <v>104</v>
      </c>
      <c r="C52" s="18" t="s">
        <v>105</v>
      </c>
      <c r="D52" s="18"/>
    </row>
    <row r="53" customFormat="false" ht="15" hidden="false" customHeight="true" outlineLevel="0" collapsed="false">
      <c r="B53" s="17" t="s">
        <v>106</v>
      </c>
      <c r="C53" s="18" t="s">
        <v>107</v>
      </c>
      <c r="D53" s="18"/>
    </row>
    <row r="54" customFormat="false" ht="15" hidden="false" customHeight="true" outlineLevel="0" collapsed="false">
      <c r="B54" s="17" t="s">
        <v>108</v>
      </c>
      <c r="C54" s="18" t="s">
        <v>109</v>
      </c>
      <c r="D54" s="18"/>
    </row>
    <row r="55" customFormat="false" ht="15" hidden="false" customHeight="true" outlineLevel="0" collapsed="false">
      <c r="B55" s="17" t="s">
        <v>68</v>
      </c>
      <c r="C55" s="18" t="s">
        <v>110</v>
      </c>
      <c r="D55" s="18"/>
    </row>
    <row r="56" customFormat="false" ht="30" hidden="false" customHeight="true" outlineLevel="0" collapsed="false">
      <c r="B56" s="19" t="s">
        <v>111</v>
      </c>
      <c r="C56" s="20" t="s">
        <v>112</v>
      </c>
      <c r="D56" s="20"/>
    </row>
  </sheetData>
  <mergeCells count="13">
    <mergeCell ref="B2:I2"/>
    <mergeCell ref="B3:I3"/>
    <mergeCell ref="B5:I5"/>
    <mergeCell ref="B34:E34"/>
    <mergeCell ref="B37:I37"/>
    <mergeCell ref="B47:E47"/>
    <mergeCell ref="B50:D50"/>
    <mergeCell ref="C51:D51"/>
    <mergeCell ref="C52:D52"/>
    <mergeCell ref="C53:D53"/>
    <mergeCell ref="C54:D54"/>
    <mergeCell ref="C55:D55"/>
    <mergeCell ref="C56:D56"/>
  </mergeCells>
  <conditionalFormatting sqref="H7:H34">
    <cfRule type="cellIs" priority="2" operator="equal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0.001</formula>
      <formula>0.999</formula>
    </cfRule>
    <cfRule type="cellIs" priority="4" operator="greaterThanOrEqual" aboveAverage="0" equalAverage="0" bottom="0" percent="0" rank="0" text="" dxfId="2">
      <formula>1</formula>
    </cfRule>
  </conditionalFormatting>
  <conditionalFormatting sqref="H39:H47">
    <cfRule type="cellIs" priority="5" operator="equal" aboveAverage="0" equalAverage="0" bottom="0" percent="0" rank="0" text="" dxfId="0">
      <formula>0</formula>
    </cfRule>
    <cfRule type="cellIs" priority="6" operator="between" aboveAverage="0" equalAverage="0" bottom="0" percent="0" rank="0" text="" dxfId="1">
      <formula>0.001</formula>
      <formula>0.999</formula>
    </cfRule>
    <cfRule type="cellIs" priority="7" operator="greaterThanOrEqual" aboveAverage="0" equalAverage="0" bottom="0" percent="0" rank="0" text="" dxfId="2">
      <formula>1</formula>
    </cfRule>
  </conditionalFormatting>
  <hyperlinks>
    <hyperlink ref="I7" r:id="rId1" location="'MOV-00%20Splash'!A1" display="Abrir →"/>
    <hyperlink ref="I8" r:id="rId2" location="'MOV-01%20Login%20móvil'!A1" display="Abrir →"/>
    <hyperlink ref="I9" r:id="rId3" location="'MOV-02%20Registro'!A1" display="Abrir →"/>
    <hyperlink ref="I10" r:id="rId4" location="'MOV-03%20Recuperar%20contraseña'!A1" display="Abrir →"/>
    <hyperlink ref="I11" r:id="rId5" location="'MOV-04%20Notificaciones'!A1" display="Abrir →"/>
    <hyperlink ref="I12" r:id="rId6" location="'CAN-01%20Vacantes'!A1" display="Abrir →"/>
    <hyperlink ref="I13" r:id="rId7" location="'CAN-02%20Detalle%20vacante'!A1" display="Abrir →"/>
    <hyperlink ref="I14" r:id="rId8" location="'CAN-03%20Mi%20perfil'!A1" display="Abrir →"/>
    <hyperlink ref="I15" r:id="rId9" location="'CAN-04%20Mi%20CV'!A1" display="Abrir →"/>
    <hyperlink ref="I16" r:id="rId10" location="'CAN-05%20Postulaciones'!A1" display="Abrir →"/>
    <hyperlink ref="I17" r:id="rId11" location="'CAN-06%20Detalle%20postulación'!A1" display="Abrir →"/>
    <hyperlink ref="I18" r:id="rId12" location="'CAN-07%20Empresas'!A1" display="Abrir →"/>
    <hyperlink ref="I19" r:id="rId13" location="'REC-01%20Organización'!A1" display="Abrir →"/>
    <hyperlink ref="I20" r:id="rId14" location="'REC-02%20Mis%20vacantes'!A1" display="Abrir →"/>
    <hyperlink ref="I21" r:id="rId15" location="'REC-03%20Crear%20vacante'!A1" display="Abrir →"/>
    <hyperlink ref="I22" r:id="rId16" location="'REC-04%20Postulados'!A1" display="Abrir →"/>
    <hyperlink ref="I23" r:id="rId17" location="'REC-05%20Detalle%20postulado'!A1" display="Abrir →"/>
    <hyperlink ref="I24" r:id="rId18" location="'REC-06%20Agenda'!A1" display="Abrir →"/>
    <hyperlink ref="I25" r:id="rId19" location="'WEB-01%20Login%20web'!A1" display="Abrir →"/>
    <hyperlink ref="I26" r:id="rId20" location="'WEB-02%20Dashboard'!A1" display="Abrir →"/>
    <hyperlink ref="I27" r:id="rId21" location="'WEB-03%20Usuarios'!A1" display="Abrir →"/>
    <hyperlink ref="I28" r:id="rId22" location="'WEB-04%20Empresas'!A1" display="Abrir →"/>
    <hyperlink ref="I29" r:id="rId23" location="'WEB-05%20Vacantes'!A1" display="Abrir →"/>
    <hyperlink ref="I30" r:id="rId24" location="'WEB-06%20Categ.%20y%20habilidades'!A1" display="Abrir →"/>
    <hyperlink ref="I31" r:id="rId25" location="'WEB-07%20Catálogos'!A1" display="Abrir →"/>
    <hyperlink ref="I32" r:id="rId26" location="'WEB-08%20Reportes-incidencias'!A1" display="Abrir →"/>
    <hyperlink ref="I33" r:id="rId27" location="'API'!A1" display="Abrir →"/>
    <hyperlink ref="I39" r:id="rId28" location="'RNF%20Accesibilidad'!A1" display="Abrir →"/>
    <hyperlink ref="I40" r:id="rId29" location="'RNF%20Autenticación'!A1" display="Abrir →"/>
    <hyperlink ref="I41" r:id="rId30" location="'RNF%20Privacidad'!A1" display="Abrir →"/>
    <hyperlink ref="I42" r:id="rId31" location="'RNF%20Operativas%20Móvil'!A1" display="Abrir →"/>
    <hyperlink ref="I43" r:id="rId32" location="'RNF%20CRUD%20Web'!A1" display="Abrir →"/>
    <hyperlink ref="I44" r:id="rId33" location="'RNF%20Dashboard'!A1" display="Abrir →"/>
    <hyperlink ref="I45" r:id="rId34" location="'RNF%20Notificaciones'!A1" display="Abrir →"/>
    <hyperlink ref="I46" r:id="rId35" location="'RNF%20API'!A1" display="Abrir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115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121</v>
      </c>
      <c r="D6" s="28" t="s">
        <v>122</v>
      </c>
      <c r="E6" s="29" t="s">
        <v>123</v>
      </c>
      <c r="F6" s="30" t="n">
        <v>0</v>
      </c>
    </row>
    <row r="7" customFormat="false" ht="57" hidden="false" customHeight="true" outlineLevel="0" collapsed="false">
      <c r="B7" s="31" t="s">
        <v>124</v>
      </c>
      <c r="C7" s="32" t="s">
        <v>125</v>
      </c>
      <c r="D7" s="32" t="s">
        <v>126</v>
      </c>
      <c r="E7" s="33" t="s">
        <v>123</v>
      </c>
      <c r="F7" s="34" t="n">
        <v>0</v>
      </c>
    </row>
    <row r="10" customFormat="false" ht="48.75" hidden="false" customHeight="true" outlineLevel="0" collapsed="false">
      <c r="B10" s="35" t="s">
        <v>127</v>
      </c>
      <c r="C10" s="35"/>
      <c r="D10" s="35"/>
      <c r="E10" s="35"/>
      <c r="F10" s="35"/>
    </row>
    <row r="11" customFormat="false" ht="31.5" hidden="false" customHeight="true" outlineLevel="0" collapsed="false">
      <c r="B11" s="23" t="s">
        <v>128</v>
      </c>
      <c r="C11" s="23"/>
      <c r="D11" s="23"/>
      <c r="E11" s="23"/>
      <c r="F11" s="23"/>
    </row>
    <row r="12" customFormat="false" ht="22.5" hidden="false" customHeight="true" outlineLevel="0" collapsed="false">
      <c r="B12" s="24" t="s">
        <v>116</v>
      </c>
      <c r="C12" s="25" t="s">
        <v>129</v>
      </c>
      <c r="D12" s="25" t="s">
        <v>118</v>
      </c>
      <c r="E12" s="25" t="s">
        <v>119</v>
      </c>
      <c r="F12" s="26" t="s">
        <v>75</v>
      </c>
    </row>
    <row r="13" customFormat="false" ht="42" hidden="false" customHeight="true" outlineLevel="0" collapsed="false">
      <c r="B13" s="27" t="s">
        <v>130</v>
      </c>
      <c r="C13" s="28" t="str">
        <f aca="false">'RNF Accesibilidad'!C6</f>
        <v>Estándar de accesibilidad</v>
      </c>
      <c r="D13" s="28" t="str">
        <f aca="false">'RNF Accesibilidad'!D6</f>
        <v>Las interfaces cumplen las pautas WCAG 2.1 nivel AA.</v>
      </c>
      <c r="E13" s="29" t="str">
        <f aca="false">'RNF Accesibilidad'!E6</f>
        <v>Alta</v>
      </c>
      <c r="F13" s="30" t="n">
        <f aca="false">'RNF Accesibilidad'!F6</f>
        <v>0</v>
      </c>
    </row>
    <row r="14" customFormat="false" ht="72" hidden="false" customHeight="true" outlineLevel="0" collapsed="false">
      <c r="B14" s="27" t="s">
        <v>131</v>
      </c>
      <c r="C14" s="28" t="str">
        <f aca="false">'RNF Accesibilidad'!C7</f>
        <v>Lectores de pantalla</v>
      </c>
      <c r="D14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4" s="29" t="str">
        <f aca="false">'RNF Accesibilidad'!E7</f>
        <v>Alta</v>
      </c>
      <c r="F14" s="30" t="n">
        <f aca="false">'RNF Accesibilidad'!F7</f>
        <v>0</v>
      </c>
    </row>
    <row r="15" customFormat="false" ht="42" hidden="false" customHeight="true" outlineLevel="0" collapsed="false">
      <c r="B15" s="27" t="s">
        <v>132</v>
      </c>
      <c r="C15" s="28" t="str">
        <f aca="false">'RNF Accesibilidad'!C8</f>
        <v>Contraste</v>
      </c>
      <c r="D15" s="28" t="str">
        <f aca="false">'RNF Accesibilidad'!D8</f>
        <v>Contraste mínimo de 4.5:1 para texto normal y 3:1 para texto grande y componentes de interfaz.</v>
      </c>
      <c r="E15" s="29" t="str">
        <f aca="false">'RNF Accesibilidad'!E8</f>
        <v>Alta</v>
      </c>
      <c r="F15" s="30" t="n">
        <f aca="false">'RNF Accesibilidad'!F8</f>
        <v>0</v>
      </c>
    </row>
    <row r="16" customFormat="false" ht="57" hidden="false" customHeight="true" outlineLevel="0" collapsed="false">
      <c r="B16" s="27" t="s">
        <v>133</v>
      </c>
      <c r="C16" s="28" t="str">
        <f aca="false">'RNF Accesibilidad'!C9</f>
        <v>Texto escalable</v>
      </c>
      <c r="D16" s="28" t="str">
        <f aca="false">'RNF Accesibilidad'!D9</f>
        <v>La interfaz respeta el tamaño de fuente del sistema y admite hasta 200 % de ampliación sin pérdida de contenido ni funcionalidad.</v>
      </c>
      <c r="E16" s="29" t="str">
        <f aca="false">'RNF Accesibilidad'!E9</f>
        <v>Alta</v>
      </c>
      <c r="F16" s="30" t="n">
        <f aca="false">'RNF Accesibilidad'!F9</f>
        <v>0</v>
      </c>
    </row>
    <row r="17" customFormat="false" ht="42" hidden="false" customHeight="true" outlineLevel="0" collapsed="false">
      <c r="B17" s="27" t="s">
        <v>134</v>
      </c>
      <c r="C17" s="28" t="str">
        <f aca="false">'RNF Accesibilidad'!C10</f>
        <v>Áreas táctiles</v>
      </c>
      <c r="D17" s="28" t="str">
        <f aca="false">'RNF Accesibilidad'!D10</f>
        <v>Los componentes táctiles tienen un área mínima de 48 × 48 dp en Android y 44 × 44 pt en iOS.</v>
      </c>
      <c r="E17" s="29" t="str">
        <f aca="false">'RNF Accesibilidad'!E10</f>
        <v>Alta</v>
      </c>
      <c r="F17" s="30" t="n">
        <f aca="false">'RNF Accesibilidad'!F10</f>
        <v>0</v>
      </c>
    </row>
    <row r="18" customFormat="false" ht="42" hidden="false" customHeight="true" outlineLevel="0" collapsed="false">
      <c r="B18" s="27" t="s">
        <v>135</v>
      </c>
      <c r="C18" s="28" t="str">
        <f aca="false">'RNF Accesibilidad'!C11</f>
        <v>Información no dependiente del color</v>
      </c>
      <c r="D18" s="28" t="str">
        <f aca="false">'RNF Accesibilidad'!D11</f>
        <v>Estados, errores y porcentajes se comunican con texto o ícono además del color.</v>
      </c>
      <c r="E18" s="29" t="str">
        <f aca="false">'RNF Accesibilidad'!E11</f>
        <v>Alta</v>
      </c>
      <c r="F18" s="30" t="n">
        <f aca="false">'RNF Accesibilidad'!F11</f>
        <v>0</v>
      </c>
    </row>
    <row r="19" customFormat="false" ht="57" hidden="false" customHeight="true" outlineLevel="0" collapsed="false">
      <c r="B19" s="27" t="s">
        <v>136</v>
      </c>
      <c r="C19" s="28" t="str">
        <f aca="false">'RNF Accesibilidad'!C12</f>
        <v>Navegación por teclado</v>
      </c>
      <c r="D19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19" s="29" t="str">
        <f aca="false">'RNF Accesibilidad'!E12</f>
        <v>Alta</v>
      </c>
      <c r="F19" s="30" t="n">
        <f aca="false">'RNF Accesibilidad'!F12</f>
        <v>0</v>
      </c>
    </row>
    <row r="20" customFormat="false" ht="42" hidden="false" customHeight="true" outlineLevel="0" collapsed="false">
      <c r="B20" s="27" t="s">
        <v>137</v>
      </c>
      <c r="C20" s="28" t="str">
        <f aca="false">'RNF Accesibilidad'!C13</f>
        <v>Lenguaje claro</v>
      </c>
      <c r="D20" s="28" t="str">
        <f aca="false">'RNF Accesibilidad'!D13</f>
        <v>Textos en lenguaje claro y sin tecnicismos; los errores de formulario indican qué campo falla y cómo corregirlo.</v>
      </c>
      <c r="E20" s="29" t="str">
        <f aca="false">'RNF Accesibilidad'!E13</f>
        <v>Media</v>
      </c>
      <c r="F20" s="30" t="n">
        <f aca="false">'RNF Accesibilidad'!F13</f>
        <v>0</v>
      </c>
    </row>
    <row r="21" customFormat="false" ht="42" hidden="false" customHeight="true" outlineLevel="0" collapsed="false">
      <c r="B21" s="27" t="s">
        <v>138</v>
      </c>
      <c r="C21" s="28" t="str">
        <f aca="false">'RNF Accesibilidad'!C14</f>
        <v>Movimiento reducido</v>
      </c>
      <c r="D21" s="28" t="str">
        <f aca="false">'RNF Accesibilidad'!D14</f>
        <v>Se respeta la preferencia de «reducir movimiento» del sistema y no hay contenido parpadeante.</v>
      </c>
      <c r="E21" s="29" t="str">
        <f aca="false">'RNF Accesibilidad'!E14</f>
        <v>Baja</v>
      </c>
      <c r="F21" s="30" t="n">
        <f aca="false">'RNF Accesibilidad'!F14</f>
        <v>0</v>
      </c>
    </row>
    <row r="22" customFormat="false" ht="42" hidden="false" customHeight="true" outlineLevel="0" collapsed="false">
      <c r="B22" s="27" t="s">
        <v>139</v>
      </c>
      <c r="C22" s="28" t="str">
        <f aca="false">'RNF Operativas Móvil'!C6</f>
        <v>Desempeño</v>
      </c>
      <c r="D22" s="28" t="str">
        <f aca="false">'RNF Operativas Móvil'!D6</f>
        <v>Tiempo de respuesta de las pantallas ≤ 2 s en el percentil 95 sobre red 4G.</v>
      </c>
      <c r="E22" s="29" t="str">
        <f aca="false">'RNF Operativas Móvil'!E6</f>
        <v>Alta</v>
      </c>
      <c r="F22" s="30" t="n">
        <f aca="false">'RNF Operativas Móvil'!F6</f>
        <v>0</v>
      </c>
    </row>
    <row r="23" customFormat="false" ht="42" hidden="false" customHeight="true" outlineLevel="0" collapsed="false">
      <c r="B23" s="27" t="s">
        <v>140</v>
      </c>
      <c r="C23" s="28" t="str">
        <f aca="false">'RNF Operativas Móvil'!C7</f>
        <v>Compatibilidad</v>
      </c>
      <c r="D23" s="28" t="str">
        <f aca="false">'RNF Operativas Móvil'!D7</f>
        <v>Ejecutable en Android 8+ e iOS 15+ con un solo código base (React Native + Expo).</v>
      </c>
      <c r="E23" s="29" t="str">
        <f aca="false">'RNF Operativas Móvil'!E7</f>
        <v>Alta</v>
      </c>
      <c r="F23" s="30" t="n">
        <f aca="false">'RNF Operativas Móvil'!F7</f>
        <v>0</v>
      </c>
    </row>
    <row r="24" customFormat="false" ht="42" hidden="false" customHeight="true" outlineLevel="0" collapsed="false">
      <c r="B24" s="27" t="s">
        <v>141</v>
      </c>
      <c r="C24" s="28" t="str">
        <f aca="false">'RNF Operativas Móvil'!C8</f>
        <v>Retroalimentación</v>
      </c>
      <c r="D24" s="28" t="str">
        <f aca="false">'RNF Operativas Móvil'!D8</f>
        <v>Toda acción que tarde más de 300 ms muestra un indicador de carga anunciado al lector de pantalla.</v>
      </c>
      <c r="E24" s="29" t="str">
        <f aca="false">'RNF Operativas Móvil'!E8</f>
        <v>Media</v>
      </c>
      <c r="F24" s="30" t="n">
        <f aca="false">'RNF Operativas Móvil'!F8</f>
        <v>0</v>
      </c>
    </row>
    <row r="25" customFormat="false" ht="57" hidden="false" customHeight="true" outlineLevel="0" collapsed="false">
      <c r="B25" s="27" t="s">
        <v>142</v>
      </c>
      <c r="C25" s="28" t="str">
        <f aca="false">'RNF Operativas Móvil'!C9</f>
        <v>Tolerancia a fallas de red</v>
      </c>
      <c r="D25" s="28" t="str">
        <f aca="false">'RNF Operativas Móvil'!D9</f>
        <v>La app conserva en caché el último listado de vacantes y postulaciones y avisa cuando no hay conexión; los formularios no pierden lo capturado.</v>
      </c>
      <c r="E25" s="29" t="str">
        <f aca="false">'RNF Operativas Móvil'!E9</f>
        <v>Media</v>
      </c>
      <c r="F25" s="30" t="n">
        <f aca="false">'RNF Operativas Móvil'!F9</f>
        <v>0</v>
      </c>
    </row>
    <row r="26" customFormat="false" ht="30" hidden="false" customHeight="true" outlineLevel="0" collapsed="false">
      <c r="B26" s="31" t="s">
        <v>143</v>
      </c>
      <c r="C26" s="32" t="str">
        <f aca="false">'RNF Operativas Móvil'!C10</f>
        <v>Orientación</v>
      </c>
      <c r="D26" s="32" t="str">
        <f aca="false">'RNF Operativas Móvil'!D10</f>
        <v>Las pantallas funcionan en orientación vertical y horizontal.</v>
      </c>
      <c r="E26" s="33" t="str">
        <f aca="false">'RNF Operativas Móvil'!E10</f>
        <v>Baja</v>
      </c>
      <c r="F26" s="34" t="n">
        <f aca="false">'RNF Operativas Móvil'!F10</f>
        <v>0</v>
      </c>
    </row>
    <row r="27" customFormat="false" ht="15" hidden="false" customHeight="false" outlineLevel="0" collapsed="false">
      <c r="B27" s="36" t="s">
        <v>144</v>
      </c>
    </row>
    <row r="30" customFormat="false" ht="15" hidden="false" customHeight="true" outlineLevel="0" collapsed="false">
      <c r="B30" s="37" t="s">
        <v>145</v>
      </c>
      <c r="C30" s="38" t="s">
        <v>146</v>
      </c>
      <c r="D30" s="38"/>
    </row>
    <row r="31" customFormat="false" ht="15" hidden="false" customHeight="true" outlineLevel="0" collapsed="false">
      <c r="B31" s="39" t="s">
        <v>147</v>
      </c>
      <c r="C31" s="40" t="s">
        <v>148</v>
      </c>
      <c r="D31" s="40"/>
    </row>
    <row r="32" customFormat="false" ht="15" hidden="false" customHeight="true" outlineLevel="0" collapsed="false">
      <c r="B32" s="39" t="s">
        <v>149</v>
      </c>
      <c r="C32" s="40" t="s">
        <v>150</v>
      </c>
      <c r="D32" s="40"/>
    </row>
    <row r="33" customFormat="false" ht="15" hidden="false" customHeight="true" outlineLevel="0" collapsed="false">
      <c r="B33" s="41" t="s">
        <v>151</v>
      </c>
      <c r="C33" s="42" t="s">
        <v>152</v>
      </c>
      <c r="D33" s="42"/>
    </row>
    <row r="36" customFormat="false" ht="15" hidden="false" customHeight="false" outlineLevel="0" collapsed="false">
      <c r="B36" s="43" t="s">
        <v>153</v>
      </c>
      <c r="C36" s="43"/>
    </row>
    <row r="37" customFormat="false" ht="15" hidden="false" customHeight="false" outlineLevel="0" collapsed="false">
      <c r="B37" s="44" t="s">
        <v>154</v>
      </c>
      <c r="C37" s="45" t="s">
        <v>155</v>
      </c>
    </row>
    <row r="38" customFormat="false" ht="15" hidden="false" customHeight="false" outlineLevel="0" collapsed="false">
      <c r="B38" s="46" t="s">
        <v>156</v>
      </c>
      <c r="C38" s="45" t="s">
        <v>157</v>
      </c>
    </row>
    <row r="39" customFormat="false" ht="15" hidden="false" customHeight="false" outlineLevel="0" collapsed="false">
      <c r="B39" s="47" t="s">
        <v>158</v>
      </c>
      <c r="C39" s="48" t="s">
        <v>159</v>
      </c>
    </row>
    <row r="42" customFormat="false" ht="30" hidden="false" customHeight="true" outlineLevel="0" collapsed="false">
      <c r="B42" s="49" t="s">
        <v>160</v>
      </c>
      <c r="C42" s="50"/>
      <c r="D42" s="50"/>
    </row>
  </sheetData>
  <mergeCells count="10">
    <mergeCell ref="B3:F3"/>
    <mergeCell ref="B4:F4"/>
    <mergeCell ref="B10:F10"/>
    <mergeCell ref="B11:F11"/>
    <mergeCell ref="C30:D30"/>
    <mergeCell ref="C31:D31"/>
    <mergeCell ref="C32:D32"/>
    <mergeCell ref="C33:D33"/>
    <mergeCell ref="B36:C36"/>
    <mergeCell ref="C42:D42"/>
  </mergeCells>
  <conditionalFormatting sqref="F6:F7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3:F26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Style="stop" operator="between" showDropDown="false" showErrorMessage="false" showInputMessage="false" sqref="E6:E7" type="list">
      <formula1>"Alta,Media,Baja"</formula1>
      <formula2>0</formula2>
    </dataValidation>
    <dataValidation allowBlank="false" error="Captura 0%, 50% o 100%." errorStyle="stop" errorTitle="Avance" operator="between" showDropDown="false" showErrorMessage="true" showInputMessage="false" sqref="F6:F7" type="decimal">
      <formula1>0</formula1>
      <formula2>1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161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162</v>
      </c>
      <c r="D6" s="28" t="s">
        <v>163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164</v>
      </c>
      <c r="D7" s="28" t="s">
        <v>165</v>
      </c>
      <c r="E7" s="29" t="s">
        <v>123</v>
      </c>
      <c r="F7" s="30" t="n">
        <v>0</v>
      </c>
    </row>
    <row r="8" customFormat="false" ht="72" hidden="false" customHeight="true" outlineLevel="0" collapsed="false">
      <c r="B8" s="27" t="s">
        <v>166</v>
      </c>
      <c r="C8" s="28" t="s">
        <v>167</v>
      </c>
      <c r="D8" s="28" t="s">
        <v>168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170</v>
      </c>
      <c r="D9" s="28" t="s">
        <v>171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31" t="s">
        <v>172</v>
      </c>
      <c r="C10" s="32" t="s">
        <v>173</v>
      </c>
      <c r="D10" s="32" t="s">
        <v>174</v>
      </c>
      <c r="E10" s="33" t="s">
        <v>175</v>
      </c>
      <c r="F10" s="34" t="n">
        <v>0</v>
      </c>
    </row>
    <row r="13" customFormat="false" ht="48.75" hidden="false" customHeight="true" outlineLevel="0" collapsed="false">
      <c r="B13" s="35" t="s">
        <v>127</v>
      </c>
      <c r="C13" s="35"/>
      <c r="D13" s="35"/>
      <c r="E13" s="35"/>
      <c r="F13" s="35"/>
    </row>
    <row r="14" customFormat="false" ht="48" hidden="false" customHeight="true" outlineLevel="0" collapsed="false">
      <c r="B14" s="23" t="s">
        <v>176</v>
      </c>
      <c r="C14" s="23"/>
      <c r="D14" s="23"/>
      <c r="E14" s="23"/>
      <c r="F14" s="23"/>
    </row>
    <row r="15" customFormat="false" ht="22.5" hidden="false" customHeight="true" outlineLevel="0" collapsed="false">
      <c r="B15" s="24" t="s">
        <v>116</v>
      </c>
      <c r="C15" s="25" t="s">
        <v>129</v>
      </c>
      <c r="D15" s="25" t="s">
        <v>118</v>
      </c>
      <c r="E15" s="25" t="s">
        <v>119</v>
      </c>
      <c r="F15" s="26" t="s">
        <v>75</v>
      </c>
    </row>
    <row r="16" customFormat="false" ht="42" hidden="false" customHeight="true" outlineLevel="0" collapsed="false">
      <c r="B16" s="27" t="s">
        <v>130</v>
      </c>
      <c r="C16" s="28" t="str">
        <f aca="false">'RNF Accesibilidad'!C6</f>
        <v>Estándar de accesibilidad</v>
      </c>
      <c r="D16" s="28" t="str">
        <f aca="false">'RNF Accesibilidad'!D6</f>
        <v>Las interfaces cumplen las pautas WCAG 2.1 nivel AA.</v>
      </c>
      <c r="E16" s="29" t="str">
        <f aca="false">'RNF Accesibilidad'!E6</f>
        <v>Alta</v>
      </c>
      <c r="F16" s="30" t="n">
        <f aca="false">'RNF Accesibilidad'!F6</f>
        <v>0</v>
      </c>
    </row>
    <row r="17" customFormat="false" ht="72" hidden="false" customHeight="true" outlineLevel="0" collapsed="false">
      <c r="B17" s="27" t="s">
        <v>131</v>
      </c>
      <c r="C17" s="28" t="str">
        <f aca="false">'RNF Accesibilidad'!C7</f>
        <v>Lectores de pantalla</v>
      </c>
      <c r="D17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7" s="29" t="str">
        <f aca="false">'RNF Accesibilidad'!E7</f>
        <v>Alta</v>
      </c>
      <c r="F17" s="30" t="n">
        <f aca="false">'RNF Accesibilidad'!F7</f>
        <v>0</v>
      </c>
    </row>
    <row r="18" customFormat="false" ht="42" hidden="false" customHeight="true" outlineLevel="0" collapsed="false">
      <c r="B18" s="27" t="s">
        <v>132</v>
      </c>
      <c r="C18" s="28" t="str">
        <f aca="false">'RNF Accesibilidad'!C8</f>
        <v>Contraste</v>
      </c>
      <c r="D18" s="28" t="str">
        <f aca="false">'RNF Accesibilidad'!D8</f>
        <v>Contraste mínimo de 4.5:1 para texto normal y 3:1 para texto grande y componentes de interfaz.</v>
      </c>
      <c r="E18" s="29" t="str">
        <f aca="false">'RNF Accesibilidad'!E8</f>
        <v>Alta</v>
      </c>
      <c r="F18" s="30" t="n">
        <f aca="false">'RNF Accesibilidad'!F8</f>
        <v>0</v>
      </c>
    </row>
    <row r="19" customFormat="false" ht="57" hidden="false" customHeight="true" outlineLevel="0" collapsed="false">
      <c r="B19" s="27" t="s">
        <v>133</v>
      </c>
      <c r="C19" s="28" t="str">
        <f aca="false">'RNF Accesibilidad'!C9</f>
        <v>Texto escalable</v>
      </c>
      <c r="D19" s="28" t="str">
        <f aca="false">'RNF Accesibilidad'!D9</f>
        <v>La interfaz respeta el tamaño de fuente del sistema y admite hasta 200 % de ampliación sin pérdida de contenido ni funcionalidad.</v>
      </c>
      <c r="E19" s="29" t="str">
        <f aca="false">'RNF Accesibilidad'!E9</f>
        <v>Alta</v>
      </c>
      <c r="F19" s="30" t="n">
        <f aca="false">'RNF Accesibilidad'!F9</f>
        <v>0</v>
      </c>
    </row>
    <row r="20" customFormat="false" ht="42" hidden="false" customHeight="true" outlineLevel="0" collapsed="false">
      <c r="B20" s="27" t="s">
        <v>134</v>
      </c>
      <c r="C20" s="28" t="str">
        <f aca="false">'RNF Accesibilidad'!C10</f>
        <v>Áreas táctiles</v>
      </c>
      <c r="D20" s="28" t="str">
        <f aca="false">'RNF Accesibilidad'!D10</f>
        <v>Los componentes táctiles tienen un área mínima de 48 × 48 dp en Android y 44 × 44 pt en iOS.</v>
      </c>
      <c r="E20" s="29" t="str">
        <f aca="false">'RNF Accesibilidad'!E10</f>
        <v>Alta</v>
      </c>
      <c r="F20" s="30" t="n">
        <f aca="false">'RNF Accesibilidad'!F10</f>
        <v>0</v>
      </c>
    </row>
    <row r="21" customFormat="false" ht="42" hidden="false" customHeight="true" outlineLevel="0" collapsed="false">
      <c r="B21" s="27" t="s">
        <v>135</v>
      </c>
      <c r="C21" s="28" t="str">
        <f aca="false">'RNF Accesibilidad'!C11</f>
        <v>Información no dependiente del color</v>
      </c>
      <c r="D21" s="28" t="str">
        <f aca="false">'RNF Accesibilidad'!D11</f>
        <v>Estados, errores y porcentajes se comunican con texto o ícono además del color.</v>
      </c>
      <c r="E21" s="29" t="str">
        <f aca="false">'RNF Accesibilidad'!E11</f>
        <v>Alta</v>
      </c>
      <c r="F21" s="30" t="n">
        <f aca="false">'RNF Accesibilidad'!F11</f>
        <v>0</v>
      </c>
    </row>
    <row r="22" customFormat="false" ht="57" hidden="false" customHeight="true" outlineLevel="0" collapsed="false">
      <c r="B22" s="27" t="s">
        <v>136</v>
      </c>
      <c r="C22" s="28" t="str">
        <f aca="false">'RNF Accesibilidad'!C12</f>
        <v>Navegación por teclado</v>
      </c>
      <c r="D22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2" s="29" t="str">
        <f aca="false">'RNF Accesibilidad'!E12</f>
        <v>Alta</v>
      </c>
      <c r="F22" s="30" t="n">
        <f aca="false">'RNF Accesibilidad'!F12</f>
        <v>0</v>
      </c>
    </row>
    <row r="23" customFormat="false" ht="42" hidden="false" customHeight="true" outlineLevel="0" collapsed="false">
      <c r="B23" s="27" t="s">
        <v>137</v>
      </c>
      <c r="C23" s="28" t="str">
        <f aca="false">'RNF Accesibilidad'!C13</f>
        <v>Lenguaje claro</v>
      </c>
      <c r="D23" s="28" t="str">
        <f aca="false">'RNF Accesibilidad'!D13</f>
        <v>Textos en lenguaje claro y sin tecnicismos; los errores de formulario indican qué campo falla y cómo corregirlo.</v>
      </c>
      <c r="E23" s="29" t="str">
        <f aca="false">'RNF Accesibilidad'!E13</f>
        <v>Media</v>
      </c>
      <c r="F23" s="30" t="n">
        <f aca="false">'RNF Accesibilidad'!F13</f>
        <v>0</v>
      </c>
    </row>
    <row r="24" customFormat="false" ht="42" hidden="false" customHeight="true" outlineLevel="0" collapsed="false">
      <c r="B24" s="27" t="s">
        <v>138</v>
      </c>
      <c r="C24" s="28" t="str">
        <f aca="false">'RNF Accesibilidad'!C14</f>
        <v>Movimiento reducido</v>
      </c>
      <c r="D24" s="28" t="str">
        <f aca="false">'RNF Accesibilidad'!D14</f>
        <v>Se respeta la preferencia de «reducir movimiento» del sistema y no hay contenido parpadeante.</v>
      </c>
      <c r="E24" s="29" t="str">
        <f aca="false">'RNF Accesibilidad'!E14</f>
        <v>Baja</v>
      </c>
      <c r="F24" s="30" t="n">
        <f aca="false">'RNF Accesibilidad'!F14</f>
        <v>0</v>
      </c>
    </row>
    <row r="25" customFormat="false" ht="42" hidden="false" customHeight="true" outlineLevel="0" collapsed="false">
      <c r="B25" s="27" t="s">
        <v>177</v>
      </c>
      <c r="C25" s="28" t="str">
        <f aca="false">'RNF Autenticación'!C6</f>
        <v>Seguridad — contraseñas</v>
      </c>
      <c r="D25" s="28" t="str">
        <f aca="false">'RNF Autenticación'!D6</f>
        <v>Las contraseñas se almacenan únicamente como hash bcrypt (cost ≥ 10); nunca en texto plano ni en registros.</v>
      </c>
      <c r="E25" s="29" t="str">
        <f aca="false">'RNF Autenticación'!E6</f>
        <v>Alta</v>
      </c>
      <c r="F25" s="30" t="n">
        <f aca="false">'RNF Autenticación'!F6</f>
        <v>0</v>
      </c>
    </row>
    <row r="26" customFormat="false" ht="57" hidden="false" customHeight="true" outlineLevel="0" collapsed="false">
      <c r="B26" s="27" t="s">
        <v>178</v>
      </c>
      <c r="C26" s="28" t="str">
        <f aca="false">'RNF Autenticación'!C7</f>
        <v>Seguridad — tokens</v>
      </c>
      <c r="D26" s="28" t="str">
        <f aca="false">'RNF Autenticación'!D7</f>
        <v>JWT firmado HS256 con expiración de 8 h; transporte HTTPS obligatorio; almacenamiento en expo-secure-store (móvil) y en la sesión del servidor Laravel (web).</v>
      </c>
      <c r="E26" s="29" t="str">
        <f aca="false">'RNF Autenticación'!E7</f>
        <v>Alta</v>
      </c>
      <c r="F26" s="30" t="n">
        <f aca="false">'RNF Autenticación'!F7</f>
        <v>0</v>
      </c>
    </row>
    <row r="27" customFormat="false" ht="42" hidden="false" customHeight="true" outlineLevel="0" collapsed="false">
      <c r="B27" s="27" t="s">
        <v>179</v>
      </c>
      <c r="C27" s="28" t="str">
        <f aca="false">'RNF Autenticación'!C8</f>
        <v>Protección contra fuerza bruta</v>
      </c>
      <c r="D27" s="28" t="str">
        <f aca="false">'RNF Autenticación'!D8</f>
        <v>Bloqueo temporal de 15 minutos tras 5 intentos fallidos consecutivos por cuenta o por IP.</v>
      </c>
      <c r="E27" s="29" t="str">
        <f aca="false">'RNF Autenticación'!E8</f>
        <v>Alta</v>
      </c>
      <c r="F27" s="30" t="n">
        <f aca="false">'RNF Autenticación'!F8</f>
        <v>0</v>
      </c>
    </row>
    <row r="28" customFormat="false" ht="42" hidden="false" customHeight="true" outlineLevel="0" collapsed="false">
      <c r="B28" s="27" t="s">
        <v>180</v>
      </c>
      <c r="C28" s="28" t="str">
        <f aca="false">'RNF Autenticación'!C9</f>
        <v>Mensajes neutros</v>
      </c>
      <c r="D28" s="28" t="str">
        <f aca="false">'RNF Autenticación'!D9</f>
        <v>Los mensajes de error no revelan si un correo existe en el sistema.</v>
      </c>
      <c r="E28" s="29" t="str">
        <f aca="false">'RNF Autenticación'!E9</f>
        <v>Media</v>
      </c>
      <c r="F28" s="30" t="n">
        <f aca="false">'RNF Autenticación'!F9</f>
        <v>0</v>
      </c>
    </row>
    <row r="29" customFormat="false" ht="30" hidden="false" customHeight="true" outlineLevel="0" collapsed="false">
      <c r="B29" s="27" t="s">
        <v>181</v>
      </c>
      <c r="C29" s="28" t="str">
        <f aca="false">'RNF Autenticación'!C10</f>
        <v>Desempeño</v>
      </c>
      <c r="D29" s="28" t="str">
        <f aca="false">'RNF Autenticación'!D10</f>
        <v>El inicio de sesión responde en ≤ 1.5 s en el percentil 95.</v>
      </c>
      <c r="E29" s="29" t="str">
        <f aca="false">'RNF Autenticación'!E10</f>
        <v>Media</v>
      </c>
      <c r="F29" s="30" t="n">
        <f aca="false">'RNF Autenticación'!F10</f>
        <v>0</v>
      </c>
    </row>
    <row r="30" customFormat="false" ht="42" hidden="false" customHeight="true" outlineLevel="0" collapsed="false">
      <c r="B30" s="27" t="s">
        <v>139</v>
      </c>
      <c r="C30" s="28" t="str">
        <f aca="false">'RNF Operativas Móvil'!C6</f>
        <v>Desempeño</v>
      </c>
      <c r="D30" s="28" t="str">
        <f aca="false">'RNF Operativas Móvil'!D6</f>
        <v>Tiempo de respuesta de las pantallas ≤ 2 s en el percentil 95 sobre red 4G.</v>
      </c>
      <c r="E30" s="29" t="str">
        <f aca="false">'RNF Operativas Móvil'!E6</f>
        <v>Alta</v>
      </c>
      <c r="F30" s="30" t="n">
        <f aca="false">'RNF Operativas Móvil'!F6</f>
        <v>0</v>
      </c>
    </row>
    <row r="31" customFormat="false" ht="42" hidden="false" customHeight="true" outlineLevel="0" collapsed="false">
      <c r="B31" s="27" t="s">
        <v>140</v>
      </c>
      <c r="C31" s="28" t="str">
        <f aca="false">'RNF Operativas Móvil'!C7</f>
        <v>Compatibilidad</v>
      </c>
      <c r="D31" s="28" t="str">
        <f aca="false">'RNF Operativas Móvil'!D7</f>
        <v>Ejecutable en Android 8+ e iOS 15+ con un solo código base (React Native + Expo).</v>
      </c>
      <c r="E31" s="29" t="str">
        <f aca="false">'RNF Operativas Móvil'!E7</f>
        <v>Alta</v>
      </c>
      <c r="F31" s="30" t="n">
        <f aca="false">'RNF Operativas Móvil'!F7</f>
        <v>0</v>
      </c>
    </row>
    <row r="32" customFormat="false" ht="42" hidden="false" customHeight="true" outlineLevel="0" collapsed="false">
      <c r="B32" s="27" t="s">
        <v>141</v>
      </c>
      <c r="C32" s="28" t="str">
        <f aca="false">'RNF Operativas Móvil'!C8</f>
        <v>Retroalimentación</v>
      </c>
      <c r="D32" s="28" t="str">
        <f aca="false">'RNF Operativas Móvil'!D8</f>
        <v>Toda acción que tarde más de 300 ms muestra un indicador de carga anunciado al lector de pantalla.</v>
      </c>
      <c r="E32" s="29" t="str">
        <f aca="false">'RNF Operativas Móvil'!E8</f>
        <v>Media</v>
      </c>
      <c r="F32" s="30" t="n">
        <f aca="false">'RNF Operativas Móvil'!F8</f>
        <v>0</v>
      </c>
    </row>
    <row r="33" customFormat="false" ht="57" hidden="false" customHeight="true" outlineLevel="0" collapsed="false">
      <c r="B33" s="27" t="s">
        <v>142</v>
      </c>
      <c r="C33" s="28" t="str">
        <f aca="false">'RNF Operativas Móvil'!C9</f>
        <v>Tolerancia a fallas de red</v>
      </c>
      <c r="D33" s="28" t="str">
        <f aca="false">'RNF Operativas Móvil'!D9</f>
        <v>La app conserva en caché el último listado de vacantes y postulaciones y avisa cuando no hay conexión; los formularios no pierden lo capturado.</v>
      </c>
      <c r="E33" s="29" t="str">
        <f aca="false">'RNF Operativas Móvil'!E9</f>
        <v>Media</v>
      </c>
      <c r="F33" s="30" t="n">
        <f aca="false">'RNF Operativas Móvil'!F9</f>
        <v>0</v>
      </c>
    </row>
    <row r="34" customFormat="false" ht="30" hidden="false" customHeight="true" outlineLevel="0" collapsed="false">
      <c r="B34" s="31" t="s">
        <v>143</v>
      </c>
      <c r="C34" s="32" t="str">
        <f aca="false">'RNF Operativas Móvil'!C10</f>
        <v>Orientación</v>
      </c>
      <c r="D34" s="32" t="str">
        <f aca="false">'RNF Operativas Móvil'!D10</f>
        <v>Las pantallas funcionan en orientación vertical y horizontal.</v>
      </c>
      <c r="E34" s="33" t="str">
        <f aca="false">'RNF Operativas Móvil'!E10</f>
        <v>Baja</v>
      </c>
      <c r="F34" s="34" t="n">
        <f aca="false">'RNF Operativas Móvil'!F10</f>
        <v>0</v>
      </c>
    </row>
    <row r="35" customFormat="false" ht="15" hidden="false" customHeight="false" outlineLevel="0" collapsed="false">
      <c r="B35" s="36" t="s">
        <v>144</v>
      </c>
    </row>
    <row r="38" customFormat="false" ht="15" hidden="false" customHeight="true" outlineLevel="0" collapsed="false">
      <c r="B38" s="37" t="s">
        <v>145</v>
      </c>
      <c r="C38" s="38" t="s">
        <v>146</v>
      </c>
      <c r="D38" s="38"/>
    </row>
    <row r="39" customFormat="false" ht="15" hidden="false" customHeight="true" outlineLevel="0" collapsed="false">
      <c r="B39" s="39" t="s">
        <v>147</v>
      </c>
      <c r="C39" s="40" t="s">
        <v>148</v>
      </c>
      <c r="D39" s="40"/>
    </row>
    <row r="40" customFormat="false" ht="15" hidden="false" customHeight="true" outlineLevel="0" collapsed="false">
      <c r="B40" s="39" t="s">
        <v>149</v>
      </c>
      <c r="C40" s="40" t="s">
        <v>150</v>
      </c>
      <c r="D40" s="40"/>
    </row>
    <row r="41" customFormat="false" ht="15" hidden="false" customHeight="true" outlineLevel="0" collapsed="false">
      <c r="B41" s="41" t="s">
        <v>151</v>
      </c>
      <c r="C41" s="42" t="s">
        <v>152</v>
      </c>
      <c r="D41" s="42"/>
    </row>
    <row r="44" customFormat="false" ht="15" hidden="false" customHeight="false" outlineLevel="0" collapsed="false">
      <c r="B44" s="43" t="s">
        <v>153</v>
      </c>
      <c r="C44" s="43"/>
    </row>
    <row r="45" customFormat="false" ht="15" hidden="false" customHeight="false" outlineLevel="0" collapsed="false">
      <c r="B45" s="44" t="s">
        <v>154</v>
      </c>
      <c r="C45" s="45" t="s">
        <v>155</v>
      </c>
    </row>
    <row r="46" customFormat="false" ht="15" hidden="false" customHeight="false" outlineLevel="0" collapsed="false">
      <c r="B46" s="46" t="s">
        <v>156</v>
      </c>
      <c r="C46" s="45" t="s">
        <v>157</v>
      </c>
    </row>
    <row r="47" customFormat="false" ht="15" hidden="false" customHeight="false" outlineLevel="0" collapsed="false">
      <c r="B47" s="47" t="s">
        <v>158</v>
      </c>
      <c r="C47" s="48" t="s">
        <v>159</v>
      </c>
    </row>
    <row r="50" customFormat="false" ht="30" hidden="false" customHeight="true" outlineLevel="0" collapsed="false">
      <c r="B50" s="49" t="s">
        <v>160</v>
      </c>
      <c r="C50" s="50"/>
      <c r="D50" s="50"/>
    </row>
  </sheetData>
  <mergeCells count="10">
    <mergeCell ref="B3:F3"/>
    <mergeCell ref="B4:F4"/>
    <mergeCell ref="B13:F13"/>
    <mergeCell ref="B14:F14"/>
    <mergeCell ref="C38:D38"/>
    <mergeCell ref="C39:D39"/>
    <mergeCell ref="C40:D40"/>
    <mergeCell ref="C41:D41"/>
    <mergeCell ref="B44:C44"/>
    <mergeCell ref="C50:D50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6:F34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182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183</v>
      </c>
      <c r="D6" s="28" t="s">
        <v>184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185</v>
      </c>
      <c r="D7" s="28" t="s">
        <v>186</v>
      </c>
      <c r="E7" s="29" t="s">
        <v>123</v>
      </c>
      <c r="F7" s="30" t="n">
        <v>0</v>
      </c>
    </row>
    <row r="8" customFormat="false" ht="87" hidden="false" customHeight="true" outlineLevel="0" collapsed="false">
      <c r="B8" s="27" t="s">
        <v>166</v>
      </c>
      <c r="C8" s="28" t="s">
        <v>187</v>
      </c>
      <c r="D8" s="28" t="s">
        <v>188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189</v>
      </c>
      <c r="D9" s="28" t="s">
        <v>190</v>
      </c>
      <c r="E9" s="29" t="s">
        <v>123</v>
      </c>
      <c r="F9" s="30" t="n">
        <v>0</v>
      </c>
    </row>
    <row r="10" customFormat="false" ht="87" hidden="false" customHeight="true" outlineLevel="0" collapsed="false">
      <c r="B10" s="27" t="s">
        <v>172</v>
      </c>
      <c r="C10" s="28" t="s">
        <v>191</v>
      </c>
      <c r="D10" s="28" t="s">
        <v>192</v>
      </c>
      <c r="E10" s="29" t="s">
        <v>123</v>
      </c>
      <c r="F10" s="30" t="n">
        <v>0</v>
      </c>
    </row>
    <row r="11" customFormat="false" ht="42" hidden="false" customHeight="true" outlineLevel="0" collapsed="false">
      <c r="B11" s="27" t="s">
        <v>193</v>
      </c>
      <c r="C11" s="28" t="s">
        <v>194</v>
      </c>
      <c r="D11" s="28" t="s">
        <v>195</v>
      </c>
      <c r="E11" s="29" t="s">
        <v>175</v>
      </c>
      <c r="F11" s="30" t="n">
        <v>0</v>
      </c>
    </row>
    <row r="12" customFormat="false" ht="57" hidden="false" customHeight="true" outlineLevel="0" collapsed="false">
      <c r="B12" s="31" t="s">
        <v>196</v>
      </c>
      <c r="C12" s="32" t="s">
        <v>197</v>
      </c>
      <c r="D12" s="32" t="s">
        <v>198</v>
      </c>
      <c r="E12" s="33" t="s">
        <v>175</v>
      </c>
      <c r="F12" s="34" t="n">
        <v>0</v>
      </c>
    </row>
    <row r="15" customFormat="false" ht="48.75" hidden="false" customHeight="true" outlineLevel="0" collapsed="false">
      <c r="B15" s="35" t="s">
        <v>127</v>
      </c>
      <c r="C15" s="35"/>
      <c r="D15" s="35"/>
      <c r="E15" s="35"/>
      <c r="F15" s="35"/>
    </row>
    <row r="16" customFormat="false" ht="48" hidden="false" customHeight="true" outlineLevel="0" collapsed="false">
      <c r="B16" s="23" t="s">
        <v>199</v>
      </c>
      <c r="C16" s="23"/>
      <c r="D16" s="23"/>
      <c r="E16" s="23"/>
      <c r="F16" s="23"/>
    </row>
    <row r="17" customFormat="false" ht="22.5" hidden="false" customHeight="true" outlineLevel="0" collapsed="false">
      <c r="B17" s="24" t="s">
        <v>116</v>
      </c>
      <c r="C17" s="25" t="s">
        <v>129</v>
      </c>
      <c r="D17" s="25" t="s">
        <v>118</v>
      </c>
      <c r="E17" s="25" t="s">
        <v>119</v>
      </c>
      <c r="F17" s="26" t="s">
        <v>75</v>
      </c>
    </row>
    <row r="18" customFormat="false" ht="42" hidden="false" customHeight="true" outlineLevel="0" collapsed="false">
      <c r="B18" s="27" t="s">
        <v>130</v>
      </c>
      <c r="C18" s="28" t="str">
        <f aca="false">'RNF Accesibilidad'!C6</f>
        <v>Estándar de accesibilidad</v>
      </c>
      <c r="D18" s="28" t="str">
        <f aca="false">'RNF Accesibilidad'!D6</f>
        <v>Las interfaces cumplen las pautas WCAG 2.1 nivel AA.</v>
      </c>
      <c r="E18" s="29" t="str">
        <f aca="false">'RNF Accesibilidad'!E6</f>
        <v>Alta</v>
      </c>
      <c r="F18" s="30" t="n">
        <f aca="false">'RNF Accesibilidad'!F6</f>
        <v>0</v>
      </c>
    </row>
    <row r="19" customFormat="false" ht="72" hidden="false" customHeight="true" outlineLevel="0" collapsed="false">
      <c r="B19" s="27" t="s">
        <v>131</v>
      </c>
      <c r="C19" s="28" t="str">
        <f aca="false">'RNF Accesibilidad'!C7</f>
        <v>Lectores de pantalla</v>
      </c>
      <c r="D19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9" s="29" t="str">
        <f aca="false">'RNF Accesibilidad'!E7</f>
        <v>Alta</v>
      </c>
      <c r="F19" s="30" t="n">
        <f aca="false">'RNF Accesibilidad'!F7</f>
        <v>0</v>
      </c>
    </row>
    <row r="20" customFormat="false" ht="42" hidden="false" customHeight="true" outlineLevel="0" collapsed="false">
      <c r="B20" s="27" t="s">
        <v>132</v>
      </c>
      <c r="C20" s="28" t="str">
        <f aca="false">'RNF Accesibilidad'!C8</f>
        <v>Contraste</v>
      </c>
      <c r="D20" s="28" t="str">
        <f aca="false">'RNF Accesibilidad'!D8</f>
        <v>Contraste mínimo de 4.5:1 para texto normal y 3:1 para texto grande y componentes de interfaz.</v>
      </c>
      <c r="E20" s="29" t="str">
        <f aca="false">'RNF Accesibilidad'!E8</f>
        <v>Alta</v>
      </c>
      <c r="F20" s="30" t="n">
        <f aca="false">'RNF Accesibilidad'!F8</f>
        <v>0</v>
      </c>
    </row>
    <row r="21" customFormat="false" ht="57" hidden="false" customHeight="true" outlineLevel="0" collapsed="false">
      <c r="B21" s="27" t="s">
        <v>133</v>
      </c>
      <c r="C21" s="28" t="str">
        <f aca="false">'RNF Accesibilidad'!C9</f>
        <v>Texto escalable</v>
      </c>
      <c r="D21" s="28" t="str">
        <f aca="false">'RNF Accesibilidad'!D9</f>
        <v>La interfaz respeta el tamaño de fuente del sistema y admite hasta 200 % de ampliación sin pérdida de contenido ni funcionalidad.</v>
      </c>
      <c r="E21" s="29" t="str">
        <f aca="false">'RNF Accesibilidad'!E9</f>
        <v>Alta</v>
      </c>
      <c r="F21" s="30" t="n">
        <f aca="false">'RNF Accesibilidad'!F9</f>
        <v>0</v>
      </c>
    </row>
    <row r="22" customFormat="false" ht="42" hidden="false" customHeight="true" outlineLevel="0" collapsed="false">
      <c r="B22" s="27" t="s">
        <v>134</v>
      </c>
      <c r="C22" s="28" t="str">
        <f aca="false">'RNF Accesibilidad'!C10</f>
        <v>Áreas táctiles</v>
      </c>
      <c r="D22" s="28" t="str">
        <f aca="false">'RNF Accesibilidad'!D10</f>
        <v>Los componentes táctiles tienen un área mínima de 48 × 48 dp en Android y 44 × 44 pt en iOS.</v>
      </c>
      <c r="E22" s="29" t="str">
        <f aca="false">'RNF Accesibilidad'!E10</f>
        <v>Alta</v>
      </c>
      <c r="F22" s="30" t="n">
        <f aca="false">'RNF Accesibilidad'!F10</f>
        <v>0</v>
      </c>
    </row>
    <row r="23" customFormat="false" ht="42" hidden="false" customHeight="true" outlineLevel="0" collapsed="false">
      <c r="B23" s="27" t="s">
        <v>135</v>
      </c>
      <c r="C23" s="28" t="str">
        <f aca="false">'RNF Accesibilidad'!C11</f>
        <v>Información no dependiente del color</v>
      </c>
      <c r="D23" s="28" t="str">
        <f aca="false">'RNF Accesibilidad'!D11</f>
        <v>Estados, errores y porcentajes se comunican con texto o ícono además del color.</v>
      </c>
      <c r="E23" s="29" t="str">
        <f aca="false">'RNF Accesibilidad'!E11</f>
        <v>Alta</v>
      </c>
      <c r="F23" s="30" t="n">
        <f aca="false">'RNF Accesibilidad'!F11</f>
        <v>0</v>
      </c>
    </row>
    <row r="24" customFormat="false" ht="57" hidden="false" customHeight="true" outlineLevel="0" collapsed="false">
      <c r="B24" s="27" t="s">
        <v>136</v>
      </c>
      <c r="C24" s="28" t="str">
        <f aca="false">'RNF Accesibilidad'!C12</f>
        <v>Navegación por teclado</v>
      </c>
      <c r="D24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4" s="29" t="str">
        <f aca="false">'RNF Accesibilidad'!E12</f>
        <v>Alta</v>
      </c>
      <c r="F24" s="30" t="n">
        <f aca="false">'RNF Accesibilidad'!F12</f>
        <v>0</v>
      </c>
    </row>
    <row r="25" customFormat="false" ht="42" hidden="false" customHeight="true" outlineLevel="0" collapsed="false">
      <c r="B25" s="27" t="s">
        <v>137</v>
      </c>
      <c r="C25" s="28" t="str">
        <f aca="false">'RNF Accesibilidad'!C13</f>
        <v>Lenguaje claro</v>
      </c>
      <c r="D25" s="28" t="str">
        <f aca="false">'RNF Accesibilidad'!D13</f>
        <v>Textos en lenguaje claro y sin tecnicismos; los errores de formulario indican qué campo falla y cómo corregirlo.</v>
      </c>
      <c r="E25" s="29" t="str">
        <f aca="false">'RNF Accesibilidad'!E13</f>
        <v>Media</v>
      </c>
      <c r="F25" s="30" t="n">
        <f aca="false">'RNF Accesibilidad'!F13</f>
        <v>0</v>
      </c>
    </row>
    <row r="26" customFormat="false" ht="42" hidden="false" customHeight="true" outlineLevel="0" collapsed="false">
      <c r="B26" s="27" t="s">
        <v>138</v>
      </c>
      <c r="C26" s="28" t="str">
        <f aca="false">'RNF Accesibilidad'!C14</f>
        <v>Movimiento reducido</v>
      </c>
      <c r="D26" s="28" t="str">
        <f aca="false">'RNF Accesibilidad'!D14</f>
        <v>Se respeta la preferencia de «reducir movimiento» del sistema y no hay contenido parpadeante.</v>
      </c>
      <c r="E26" s="29" t="str">
        <f aca="false">'RNF Accesibilidad'!E14</f>
        <v>Baja</v>
      </c>
      <c r="F26" s="30" t="n">
        <f aca="false">'RNF Accesibilidad'!F14</f>
        <v>0</v>
      </c>
    </row>
    <row r="27" customFormat="false" ht="42" hidden="false" customHeight="true" outlineLevel="0" collapsed="false">
      <c r="B27" s="27" t="s">
        <v>177</v>
      </c>
      <c r="C27" s="28" t="str">
        <f aca="false">'RNF Autenticación'!C6</f>
        <v>Seguridad — contraseñas</v>
      </c>
      <c r="D27" s="28" t="str">
        <f aca="false">'RNF Autenticación'!D6</f>
        <v>Las contraseñas se almacenan únicamente como hash bcrypt (cost ≥ 10); nunca en texto plano ni en registros.</v>
      </c>
      <c r="E27" s="29" t="str">
        <f aca="false">'RNF Autenticación'!E6</f>
        <v>Alta</v>
      </c>
      <c r="F27" s="30" t="n">
        <f aca="false">'RNF Autenticación'!F6</f>
        <v>0</v>
      </c>
    </row>
    <row r="28" customFormat="false" ht="57" hidden="false" customHeight="true" outlineLevel="0" collapsed="false">
      <c r="B28" s="27" t="s">
        <v>178</v>
      </c>
      <c r="C28" s="28" t="str">
        <f aca="false">'RNF Autenticación'!C7</f>
        <v>Seguridad — tokens</v>
      </c>
      <c r="D28" s="28" t="str">
        <f aca="false">'RNF Autenticación'!D7</f>
        <v>JWT firmado HS256 con expiración de 8 h; transporte HTTPS obligatorio; almacenamiento en expo-secure-store (móvil) y en la sesión del servidor Laravel (web).</v>
      </c>
      <c r="E28" s="29" t="str">
        <f aca="false">'RNF Autenticación'!E7</f>
        <v>Alta</v>
      </c>
      <c r="F28" s="30" t="n">
        <f aca="false">'RNF Autenticación'!F7</f>
        <v>0</v>
      </c>
    </row>
    <row r="29" customFormat="false" ht="42" hidden="false" customHeight="true" outlineLevel="0" collapsed="false">
      <c r="B29" s="27" t="s">
        <v>179</v>
      </c>
      <c r="C29" s="28" t="str">
        <f aca="false">'RNF Autenticación'!C8</f>
        <v>Protección contra fuerza bruta</v>
      </c>
      <c r="D29" s="28" t="str">
        <f aca="false">'RNF Autenticación'!D8</f>
        <v>Bloqueo temporal de 15 minutos tras 5 intentos fallidos consecutivos por cuenta o por IP.</v>
      </c>
      <c r="E29" s="29" t="str">
        <f aca="false">'RNF Autenticación'!E8</f>
        <v>Alta</v>
      </c>
      <c r="F29" s="30" t="n">
        <f aca="false">'RNF Autenticación'!F8</f>
        <v>0</v>
      </c>
    </row>
    <row r="30" customFormat="false" ht="42" hidden="false" customHeight="true" outlineLevel="0" collapsed="false">
      <c r="B30" s="27" t="s">
        <v>180</v>
      </c>
      <c r="C30" s="28" t="str">
        <f aca="false">'RNF Autenticación'!C9</f>
        <v>Mensajes neutros</v>
      </c>
      <c r="D30" s="28" t="str">
        <f aca="false">'RNF Autenticación'!D9</f>
        <v>Los mensajes de error no revelan si un correo existe en el sistema.</v>
      </c>
      <c r="E30" s="29" t="str">
        <f aca="false">'RNF Autenticación'!E9</f>
        <v>Media</v>
      </c>
      <c r="F30" s="30" t="n">
        <f aca="false">'RNF Autenticación'!F9</f>
        <v>0</v>
      </c>
    </row>
    <row r="31" customFormat="false" ht="30" hidden="false" customHeight="true" outlineLevel="0" collapsed="false">
      <c r="B31" s="27" t="s">
        <v>181</v>
      </c>
      <c r="C31" s="28" t="str">
        <f aca="false">'RNF Autenticación'!C10</f>
        <v>Desempeño</v>
      </c>
      <c r="D31" s="28" t="str">
        <f aca="false">'RNF Autenticación'!D10</f>
        <v>El inicio de sesión responde en ≤ 1.5 s en el percentil 95.</v>
      </c>
      <c r="E31" s="29" t="str">
        <f aca="false">'RNF Autenticación'!E10</f>
        <v>Media</v>
      </c>
      <c r="F31" s="30" t="n">
        <f aca="false">'RNF Autenticación'!F10</f>
        <v>0</v>
      </c>
    </row>
    <row r="32" customFormat="false" ht="72" hidden="false" customHeight="true" outlineLevel="0" collapsed="false">
      <c r="B32" s="27" t="s">
        <v>200</v>
      </c>
      <c r="C32" s="28" t="str">
        <f aca="false">'RNF Privacidad'!C6</f>
        <v>Cumplimiento legal</v>
      </c>
      <c r="D32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32" s="29" t="str">
        <f aca="false">'RNF Privacidad'!E6</f>
        <v>Alta</v>
      </c>
      <c r="F32" s="30" t="n">
        <f aca="false">'RNF Privacidad'!F6</f>
        <v>0</v>
      </c>
    </row>
    <row r="33" customFormat="false" ht="42" hidden="false" customHeight="true" outlineLevel="0" collapsed="false">
      <c r="B33" s="27" t="s">
        <v>201</v>
      </c>
      <c r="C33" s="28" t="str">
        <f aca="false">'RNF Privacidad'!C7</f>
        <v>Minimización de datos</v>
      </c>
      <c r="D33" s="28" t="str">
        <f aca="false">'RNF Privacidad'!D7</f>
        <v>El sistema registra necesidades de ajuste y no diagnósticos, tipos de discapacidad ni documentos médicos.</v>
      </c>
      <c r="E33" s="29" t="str">
        <f aca="false">'RNF Privacidad'!E7</f>
        <v>Alta</v>
      </c>
      <c r="F33" s="30" t="n">
        <f aca="false">'RNF Privacidad'!F7</f>
        <v>0</v>
      </c>
    </row>
    <row r="34" customFormat="false" ht="57" hidden="false" customHeight="true" outlineLevel="0" collapsed="false">
      <c r="B34" s="27" t="s">
        <v>202</v>
      </c>
      <c r="C34" s="28" t="str">
        <f aca="false">'RNF Privacidad'!C8</f>
        <v>Control del candidato</v>
      </c>
      <c r="D34" s="28" t="str">
        <f aca="false">'RNF Privacidad'!D8</f>
        <v>Las necesidades de ajuste solo son visibles para el candidato y para las empresas a cuyas vacantes se postuló con consentimiento; el administrador solo ve datos agregados.</v>
      </c>
      <c r="E34" s="29" t="str">
        <f aca="false">'RNF Privacidad'!E8</f>
        <v>Alta</v>
      </c>
      <c r="F34" s="30" t="n">
        <f aca="false">'RNF Privacidad'!F8</f>
        <v>0</v>
      </c>
    </row>
    <row r="35" customFormat="false" ht="57" hidden="false" customHeight="true" outlineLevel="0" collapsed="false">
      <c r="B35" s="27" t="s">
        <v>203</v>
      </c>
      <c r="C35" s="28" t="str">
        <f aca="false">'RNF Privacidad'!C9</f>
        <v>Derechos ARCO</v>
      </c>
      <c r="D35" s="28" t="str">
        <f aca="false">'RNF Privacidad'!D9</f>
        <v>El candidato puede consultar, corregir y eliminar sus datos; la eliminación anonimiza sus postulaciones históricas en un plazo máximo de 30 días.</v>
      </c>
      <c r="E35" s="29" t="str">
        <f aca="false">'RNF Privacidad'!E9</f>
        <v>Alta</v>
      </c>
      <c r="F35" s="30" t="n">
        <f aca="false">'RNF Privacidad'!F9</f>
        <v>0</v>
      </c>
    </row>
    <row r="36" customFormat="false" ht="42" hidden="false" customHeight="true" outlineLevel="0" collapsed="false">
      <c r="B36" s="27" t="s">
        <v>204</v>
      </c>
      <c r="C36" s="28" t="str">
        <f aca="false">'RNF Privacidad'!C10</f>
        <v>Registros sin datos sensibles</v>
      </c>
      <c r="D36" s="28" t="str">
        <f aca="false">'RNF Privacidad'!D10</f>
        <v>Los logs del servidor y los mensajes push no incluyen necesidades de ajuste ni datos de contacto.</v>
      </c>
      <c r="E36" s="29" t="str">
        <f aca="false">'RNF Privacidad'!E10</f>
        <v>Alta</v>
      </c>
      <c r="F36" s="30" t="n">
        <f aca="false">'RNF Privacidad'!F10</f>
        <v>0</v>
      </c>
    </row>
    <row r="37" customFormat="false" ht="42" hidden="false" customHeight="true" outlineLevel="0" collapsed="false">
      <c r="B37" s="27" t="s">
        <v>139</v>
      </c>
      <c r="C37" s="28" t="str">
        <f aca="false">'RNF Operativas Móvil'!C6</f>
        <v>Desempeño</v>
      </c>
      <c r="D37" s="28" t="str">
        <f aca="false">'RNF Operativas Móvil'!D6</f>
        <v>Tiempo de respuesta de las pantallas ≤ 2 s en el percentil 95 sobre red 4G.</v>
      </c>
      <c r="E37" s="29" t="str">
        <f aca="false">'RNF Operativas Móvil'!E6</f>
        <v>Alta</v>
      </c>
      <c r="F37" s="30" t="n">
        <f aca="false">'RNF Operativas Móvil'!F6</f>
        <v>0</v>
      </c>
    </row>
    <row r="38" customFormat="false" ht="42" hidden="false" customHeight="true" outlineLevel="0" collapsed="false">
      <c r="B38" s="27" t="s">
        <v>140</v>
      </c>
      <c r="C38" s="28" t="str">
        <f aca="false">'RNF Operativas Móvil'!C7</f>
        <v>Compatibilidad</v>
      </c>
      <c r="D38" s="28" t="str">
        <f aca="false">'RNF Operativas Móvil'!D7</f>
        <v>Ejecutable en Android 8+ e iOS 15+ con un solo código base (React Native + Expo).</v>
      </c>
      <c r="E38" s="29" t="str">
        <f aca="false">'RNF Operativas Móvil'!E7</f>
        <v>Alta</v>
      </c>
      <c r="F38" s="30" t="n">
        <f aca="false">'RNF Operativas Móvil'!F7</f>
        <v>0</v>
      </c>
    </row>
    <row r="39" customFormat="false" ht="42" hidden="false" customHeight="true" outlineLevel="0" collapsed="false">
      <c r="B39" s="27" t="s">
        <v>141</v>
      </c>
      <c r="C39" s="28" t="str">
        <f aca="false">'RNF Operativas Móvil'!C8</f>
        <v>Retroalimentación</v>
      </c>
      <c r="D39" s="28" t="str">
        <f aca="false">'RNF Operativas Móvil'!D8</f>
        <v>Toda acción que tarde más de 300 ms muestra un indicador de carga anunciado al lector de pantalla.</v>
      </c>
      <c r="E39" s="29" t="str">
        <f aca="false">'RNF Operativas Móvil'!E8</f>
        <v>Media</v>
      </c>
      <c r="F39" s="30" t="n">
        <f aca="false">'RNF Operativas Móvil'!F8</f>
        <v>0</v>
      </c>
    </row>
    <row r="40" customFormat="false" ht="57" hidden="false" customHeight="true" outlineLevel="0" collapsed="false">
      <c r="B40" s="27" t="s">
        <v>142</v>
      </c>
      <c r="C40" s="28" t="str">
        <f aca="false">'RNF Operativas Móvil'!C9</f>
        <v>Tolerancia a fallas de red</v>
      </c>
      <c r="D40" s="28" t="str">
        <f aca="false">'RNF Operativas Móvil'!D9</f>
        <v>La app conserva en caché el último listado de vacantes y postulaciones y avisa cuando no hay conexión; los formularios no pierden lo capturado.</v>
      </c>
      <c r="E40" s="29" t="str">
        <f aca="false">'RNF Operativas Móvil'!E9</f>
        <v>Media</v>
      </c>
      <c r="F40" s="30" t="n">
        <f aca="false">'RNF Operativas Móvil'!F9</f>
        <v>0</v>
      </c>
    </row>
    <row r="41" customFormat="false" ht="30" hidden="false" customHeight="true" outlineLevel="0" collapsed="false">
      <c r="B41" s="31" t="s">
        <v>143</v>
      </c>
      <c r="C41" s="32" t="str">
        <f aca="false">'RNF Operativas Móvil'!C10</f>
        <v>Orientación</v>
      </c>
      <c r="D41" s="32" t="str">
        <f aca="false">'RNF Operativas Móvil'!D10</f>
        <v>Las pantallas funcionan en orientación vertical y horizontal.</v>
      </c>
      <c r="E41" s="33" t="str">
        <f aca="false">'RNF Operativas Móvil'!E10</f>
        <v>Baja</v>
      </c>
      <c r="F41" s="34" t="n">
        <f aca="false">'RNF Operativas Móvil'!F10</f>
        <v>0</v>
      </c>
    </row>
    <row r="42" customFormat="false" ht="15" hidden="false" customHeight="false" outlineLevel="0" collapsed="false">
      <c r="B42" s="36" t="s">
        <v>144</v>
      </c>
    </row>
    <row r="45" customFormat="false" ht="15" hidden="false" customHeight="true" outlineLevel="0" collapsed="false">
      <c r="B45" s="37" t="s">
        <v>145</v>
      </c>
      <c r="C45" s="38" t="s">
        <v>146</v>
      </c>
      <c r="D45" s="38"/>
    </row>
    <row r="46" customFormat="false" ht="15" hidden="false" customHeight="true" outlineLevel="0" collapsed="false">
      <c r="B46" s="39" t="s">
        <v>147</v>
      </c>
      <c r="C46" s="40" t="s">
        <v>148</v>
      </c>
      <c r="D46" s="40"/>
    </row>
    <row r="47" customFormat="false" ht="15" hidden="false" customHeight="true" outlineLevel="0" collapsed="false">
      <c r="B47" s="39" t="s">
        <v>149</v>
      </c>
      <c r="C47" s="40" t="s">
        <v>205</v>
      </c>
      <c r="D47" s="40"/>
    </row>
    <row r="48" customFormat="false" ht="15" hidden="false" customHeight="true" outlineLevel="0" collapsed="false">
      <c r="B48" s="41" t="s">
        <v>151</v>
      </c>
      <c r="C48" s="42" t="s">
        <v>152</v>
      </c>
      <c r="D48" s="42"/>
    </row>
    <row r="51" customFormat="false" ht="15" hidden="false" customHeight="false" outlineLevel="0" collapsed="false">
      <c r="B51" s="43" t="s">
        <v>153</v>
      </c>
      <c r="C51" s="43"/>
    </row>
    <row r="52" customFormat="false" ht="15" hidden="false" customHeight="false" outlineLevel="0" collapsed="false">
      <c r="B52" s="44" t="s">
        <v>154</v>
      </c>
      <c r="C52" s="45" t="s">
        <v>155</v>
      </c>
    </row>
    <row r="53" customFormat="false" ht="15" hidden="false" customHeight="false" outlineLevel="0" collapsed="false">
      <c r="B53" s="46" t="s">
        <v>156</v>
      </c>
      <c r="C53" s="45" t="s">
        <v>157</v>
      </c>
    </row>
    <row r="54" customFormat="false" ht="15" hidden="false" customHeight="false" outlineLevel="0" collapsed="false">
      <c r="B54" s="47" t="s">
        <v>158</v>
      </c>
      <c r="C54" s="48" t="s">
        <v>159</v>
      </c>
    </row>
    <row r="57" customFormat="false" ht="30" hidden="false" customHeight="true" outlineLevel="0" collapsed="false">
      <c r="B57" s="49" t="s">
        <v>160</v>
      </c>
      <c r="C57" s="50"/>
      <c r="D57" s="50"/>
    </row>
  </sheetData>
  <mergeCells count="10">
    <mergeCell ref="B3:F3"/>
    <mergeCell ref="B4:F4"/>
    <mergeCell ref="B15:F15"/>
    <mergeCell ref="B16:F16"/>
    <mergeCell ref="C45:D45"/>
    <mergeCell ref="C46:D46"/>
    <mergeCell ref="C47:D47"/>
    <mergeCell ref="C48:D48"/>
    <mergeCell ref="B51:C51"/>
    <mergeCell ref="C57:D57"/>
  </mergeCells>
  <conditionalFormatting sqref="F6:F12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8:F41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2" type="decimal">
      <formula1>0</formula1>
      <formula2>1</formula2>
    </dataValidation>
    <dataValidation allowBlank="false" errorStyle="stop" operator="between" showDropDown="false" showErrorMessage="false" showInputMessage="false" sqref="E6:E12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206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207</v>
      </c>
      <c r="D6" s="28" t="s">
        <v>208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209</v>
      </c>
      <c r="D7" s="28" t="s">
        <v>210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211</v>
      </c>
      <c r="D8" s="28" t="s">
        <v>212</v>
      </c>
      <c r="E8" s="29" t="s">
        <v>123</v>
      </c>
      <c r="F8" s="30" t="n">
        <v>0</v>
      </c>
    </row>
    <row r="9" customFormat="false" ht="42" hidden="false" customHeight="true" outlineLevel="0" collapsed="false">
      <c r="B9" s="31" t="s">
        <v>169</v>
      </c>
      <c r="C9" s="32" t="s">
        <v>213</v>
      </c>
      <c r="D9" s="32" t="s">
        <v>214</v>
      </c>
      <c r="E9" s="33" t="s">
        <v>215</v>
      </c>
      <c r="F9" s="34" t="n">
        <v>0</v>
      </c>
    </row>
    <row r="12" customFormat="false" ht="48.75" hidden="false" customHeight="true" outlineLevel="0" collapsed="false">
      <c r="B12" s="35" t="s">
        <v>127</v>
      </c>
      <c r="C12" s="35"/>
      <c r="D12" s="35"/>
      <c r="E12" s="35"/>
      <c r="F12" s="35"/>
    </row>
    <row r="13" customFormat="false" ht="48" hidden="false" customHeight="true" outlineLevel="0" collapsed="false">
      <c r="B13" s="23" t="s">
        <v>216</v>
      </c>
      <c r="C13" s="23"/>
      <c r="D13" s="23"/>
      <c r="E13" s="23"/>
      <c r="F13" s="23"/>
    </row>
    <row r="14" customFormat="false" ht="22.5" hidden="false" customHeight="true" outlineLevel="0" collapsed="false">
      <c r="B14" s="24" t="s">
        <v>116</v>
      </c>
      <c r="C14" s="25" t="s">
        <v>129</v>
      </c>
      <c r="D14" s="25" t="s">
        <v>118</v>
      </c>
      <c r="E14" s="25" t="s">
        <v>119</v>
      </c>
      <c r="F14" s="26" t="s">
        <v>75</v>
      </c>
    </row>
    <row r="15" customFormat="false" ht="42" hidden="false" customHeight="true" outlineLevel="0" collapsed="false">
      <c r="B15" s="27" t="s">
        <v>130</v>
      </c>
      <c r="C15" s="28" t="str">
        <f aca="false">'RNF Accesibilidad'!C6</f>
        <v>Estándar de accesibilidad</v>
      </c>
      <c r="D15" s="28" t="str">
        <f aca="false">'RNF Accesibilidad'!D6</f>
        <v>Las interfaces cumplen las pautas WCAG 2.1 nivel AA.</v>
      </c>
      <c r="E15" s="29" t="str">
        <f aca="false">'RNF Accesibilidad'!E6</f>
        <v>Alta</v>
      </c>
      <c r="F15" s="30" t="n">
        <f aca="false">'RNF Accesibilidad'!F6</f>
        <v>0</v>
      </c>
    </row>
    <row r="16" customFormat="false" ht="72" hidden="false" customHeight="true" outlineLevel="0" collapsed="false">
      <c r="B16" s="27" t="s">
        <v>131</v>
      </c>
      <c r="C16" s="28" t="str">
        <f aca="false">'RNF Accesibilidad'!C7</f>
        <v>Lectores de pantalla</v>
      </c>
      <c r="D16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6" s="29" t="str">
        <f aca="false">'RNF Accesibilidad'!E7</f>
        <v>Alta</v>
      </c>
      <c r="F16" s="30" t="n">
        <f aca="false">'RNF Accesibilidad'!F7</f>
        <v>0</v>
      </c>
    </row>
    <row r="17" customFormat="false" ht="42" hidden="false" customHeight="true" outlineLevel="0" collapsed="false">
      <c r="B17" s="27" t="s">
        <v>132</v>
      </c>
      <c r="C17" s="28" t="str">
        <f aca="false">'RNF Accesibilidad'!C8</f>
        <v>Contraste</v>
      </c>
      <c r="D17" s="28" t="str">
        <f aca="false">'RNF Accesibilidad'!D8</f>
        <v>Contraste mínimo de 4.5:1 para texto normal y 3:1 para texto grande y componentes de interfaz.</v>
      </c>
      <c r="E17" s="29" t="str">
        <f aca="false">'RNF Accesibilidad'!E8</f>
        <v>Alta</v>
      </c>
      <c r="F17" s="30" t="n">
        <f aca="false">'RNF Accesibilidad'!F8</f>
        <v>0</v>
      </c>
    </row>
    <row r="18" customFormat="false" ht="57" hidden="false" customHeight="true" outlineLevel="0" collapsed="false">
      <c r="B18" s="27" t="s">
        <v>133</v>
      </c>
      <c r="C18" s="28" t="str">
        <f aca="false">'RNF Accesibilidad'!C9</f>
        <v>Texto escalable</v>
      </c>
      <c r="D18" s="28" t="str">
        <f aca="false">'RNF Accesibilidad'!D9</f>
        <v>La interfaz respeta el tamaño de fuente del sistema y admite hasta 200 % de ampliación sin pérdida de contenido ni funcionalidad.</v>
      </c>
      <c r="E18" s="29" t="str">
        <f aca="false">'RNF Accesibilidad'!E9</f>
        <v>Alta</v>
      </c>
      <c r="F18" s="30" t="n">
        <f aca="false">'RNF Accesibilidad'!F9</f>
        <v>0</v>
      </c>
    </row>
    <row r="19" customFormat="false" ht="42" hidden="false" customHeight="true" outlineLevel="0" collapsed="false">
      <c r="B19" s="27" t="s">
        <v>134</v>
      </c>
      <c r="C19" s="28" t="str">
        <f aca="false">'RNF Accesibilidad'!C10</f>
        <v>Áreas táctiles</v>
      </c>
      <c r="D19" s="28" t="str">
        <f aca="false">'RNF Accesibilidad'!D10</f>
        <v>Los componentes táctiles tienen un área mínima de 48 × 48 dp en Android y 44 × 44 pt en iOS.</v>
      </c>
      <c r="E19" s="29" t="str">
        <f aca="false">'RNF Accesibilidad'!E10</f>
        <v>Alta</v>
      </c>
      <c r="F19" s="30" t="n">
        <f aca="false">'RNF Accesibilidad'!F10</f>
        <v>0</v>
      </c>
    </row>
    <row r="20" customFormat="false" ht="42" hidden="false" customHeight="true" outlineLevel="0" collapsed="false">
      <c r="B20" s="27" t="s">
        <v>135</v>
      </c>
      <c r="C20" s="28" t="str">
        <f aca="false">'RNF Accesibilidad'!C11</f>
        <v>Información no dependiente del color</v>
      </c>
      <c r="D20" s="28" t="str">
        <f aca="false">'RNF Accesibilidad'!D11</f>
        <v>Estados, errores y porcentajes se comunican con texto o ícono además del color.</v>
      </c>
      <c r="E20" s="29" t="str">
        <f aca="false">'RNF Accesibilidad'!E11</f>
        <v>Alta</v>
      </c>
      <c r="F20" s="30" t="n">
        <f aca="false">'RNF Accesibilidad'!F11</f>
        <v>0</v>
      </c>
    </row>
    <row r="21" customFormat="false" ht="57" hidden="false" customHeight="true" outlineLevel="0" collapsed="false">
      <c r="B21" s="27" t="s">
        <v>136</v>
      </c>
      <c r="C21" s="28" t="str">
        <f aca="false">'RNF Accesibilidad'!C12</f>
        <v>Navegación por teclado</v>
      </c>
      <c r="D21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1" s="29" t="str">
        <f aca="false">'RNF Accesibilidad'!E12</f>
        <v>Alta</v>
      </c>
      <c r="F21" s="30" t="n">
        <f aca="false">'RNF Accesibilidad'!F12</f>
        <v>0</v>
      </c>
    </row>
    <row r="22" customFormat="false" ht="42" hidden="false" customHeight="true" outlineLevel="0" collapsed="false">
      <c r="B22" s="27" t="s">
        <v>137</v>
      </c>
      <c r="C22" s="28" t="str">
        <f aca="false">'RNF Accesibilidad'!C13</f>
        <v>Lenguaje claro</v>
      </c>
      <c r="D22" s="28" t="str">
        <f aca="false">'RNF Accesibilidad'!D13</f>
        <v>Textos en lenguaje claro y sin tecnicismos; los errores de formulario indican qué campo falla y cómo corregirlo.</v>
      </c>
      <c r="E22" s="29" t="str">
        <f aca="false">'RNF Accesibilidad'!E13</f>
        <v>Media</v>
      </c>
      <c r="F22" s="30" t="n">
        <f aca="false">'RNF Accesibilidad'!F13</f>
        <v>0</v>
      </c>
    </row>
    <row r="23" customFormat="false" ht="42" hidden="false" customHeight="true" outlineLevel="0" collapsed="false">
      <c r="B23" s="27" t="s">
        <v>138</v>
      </c>
      <c r="C23" s="28" t="str">
        <f aca="false">'RNF Accesibilidad'!C14</f>
        <v>Movimiento reducido</v>
      </c>
      <c r="D23" s="28" t="str">
        <f aca="false">'RNF Accesibilidad'!D14</f>
        <v>Se respeta la preferencia de «reducir movimiento» del sistema y no hay contenido parpadeante.</v>
      </c>
      <c r="E23" s="29" t="str">
        <f aca="false">'RNF Accesibilidad'!E14</f>
        <v>Baja</v>
      </c>
      <c r="F23" s="30" t="n">
        <f aca="false">'RNF Accesibilidad'!F14</f>
        <v>0</v>
      </c>
    </row>
    <row r="24" customFormat="false" ht="42" hidden="false" customHeight="true" outlineLevel="0" collapsed="false">
      <c r="B24" s="27" t="s">
        <v>177</v>
      </c>
      <c r="C24" s="28" t="str">
        <f aca="false">'RNF Autenticación'!C6</f>
        <v>Seguridad — contraseñas</v>
      </c>
      <c r="D24" s="28" t="str">
        <f aca="false">'RNF Autenticación'!D6</f>
        <v>Las contraseñas se almacenan únicamente como hash bcrypt (cost ≥ 10); nunca en texto plano ni en registros.</v>
      </c>
      <c r="E24" s="29" t="str">
        <f aca="false">'RNF Autenticación'!E6</f>
        <v>Alta</v>
      </c>
      <c r="F24" s="30" t="n">
        <f aca="false">'RNF Autenticación'!F6</f>
        <v>0</v>
      </c>
    </row>
    <row r="25" customFormat="false" ht="57" hidden="false" customHeight="true" outlineLevel="0" collapsed="false">
      <c r="B25" s="27" t="s">
        <v>178</v>
      </c>
      <c r="C25" s="28" t="str">
        <f aca="false">'RNF Autenticación'!C7</f>
        <v>Seguridad — tokens</v>
      </c>
      <c r="D25" s="28" t="str">
        <f aca="false">'RNF Autenticación'!D7</f>
        <v>JWT firmado HS256 con expiración de 8 h; transporte HTTPS obligatorio; almacenamiento en expo-secure-store (móvil) y en la sesión del servidor Laravel (web).</v>
      </c>
      <c r="E25" s="29" t="str">
        <f aca="false">'RNF Autenticación'!E7</f>
        <v>Alta</v>
      </c>
      <c r="F25" s="30" t="n">
        <f aca="false">'RNF Autenticación'!F7</f>
        <v>0</v>
      </c>
    </row>
    <row r="26" customFormat="false" ht="42" hidden="false" customHeight="true" outlineLevel="0" collapsed="false">
      <c r="B26" s="27" t="s">
        <v>179</v>
      </c>
      <c r="C26" s="28" t="str">
        <f aca="false">'RNF Autenticación'!C8</f>
        <v>Protección contra fuerza bruta</v>
      </c>
      <c r="D26" s="28" t="str">
        <f aca="false">'RNF Autenticación'!D8</f>
        <v>Bloqueo temporal de 15 minutos tras 5 intentos fallidos consecutivos por cuenta o por IP.</v>
      </c>
      <c r="E26" s="29" t="str">
        <f aca="false">'RNF Autenticación'!E8</f>
        <v>Alta</v>
      </c>
      <c r="F26" s="30" t="n">
        <f aca="false">'RNF Autenticación'!F8</f>
        <v>0</v>
      </c>
    </row>
    <row r="27" customFormat="false" ht="42" hidden="false" customHeight="true" outlineLevel="0" collapsed="false">
      <c r="B27" s="27" t="s">
        <v>180</v>
      </c>
      <c r="C27" s="28" t="str">
        <f aca="false">'RNF Autenticación'!C9</f>
        <v>Mensajes neutros</v>
      </c>
      <c r="D27" s="28" t="str">
        <f aca="false">'RNF Autenticación'!D9</f>
        <v>Los mensajes de error no revelan si un correo existe en el sistema.</v>
      </c>
      <c r="E27" s="29" t="str">
        <f aca="false">'RNF Autenticación'!E9</f>
        <v>Media</v>
      </c>
      <c r="F27" s="30" t="n">
        <f aca="false">'RNF Autenticación'!F9</f>
        <v>0</v>
      </c>
    </row>
    <row r="28" customFormat="false" ht="30" hidden="false" customHeight="true" outlineLevel="0" collapsed="false">
      <c r="B28" s="27" t="s">
        <v>181</v>
      </c>
      <c r="C28" s="28" t="str">
        <f aca="false">'RNF Autenticación'!C10</f>
        <v>Desempeño</v>
      </c>
      <c r="D28" s="28" t="str">
        <f aca="false">'RNF Autenticación'!D10</f>
        <v>El inicio de sesión responde en ≤ 1.5 s en el percentil 95.</v>
      </c>
      <c r="E28" s="29" t="str">
        <f aca="false">'RNF Autenticación'!E10</f>
        <v>Media</v>
      </c>
      <c r="F28" s="30" t="n">
        <f aca="false">'RNF Autenticación'!F10</f>
        <v>0</v>
      </c>
    </row>
    <row r="29" customFormat="false" ht="42" hidden="false" customHeight="true" outlineLevel="0" collapsed="false">
      <c r="B29" s="27" t="s">
        <v>139</v>
      </c>
      <c r="C29" s="28" t="str">
        <f aca="false">'RNF Operativas Móvil'!C6</f>
        <v>Desempeño</v>
      </c>
      <c r="D29" s="28" t="str">
        <f aca="false">'RNF Operativas Móvil'!D6</f>
        <v>Tiempo de respuesta de las pantallas ≤ 2 s en el percentil 95 sobre red 4G.</v>
      </c>
      <c r="E29" s="29" t="str">
        <f aca="false">'RNF Operativas Móvil'!E6</f>
        <v>Alta</v>
      </c>
      <c r="F29" s="30" t="n">
        <f aca="false">'RNF Operativas Móvil'!F6</f>
        <v>0</v>
      </c>
    </row>
    <row r="30" customFormat="false" ht="42" hidden="false" customHeight="true" outlineLevel="0" collapsed="false">
      <c r="B30" s="27" t="s">
        <v>140</v>
      </c>
      <c r="C30" s="28" t="str">
        <f aca="false">'RNF Operativas Móvil'!C7</f>
        <v>Compatibilidad</v>
      </c>
      <c r="D30" s="28" t="str">
        <f aca="false">'RNF Operativas Móvil'!D7</f>
        <v>Ejecutable en Android 8+ e iOS 15+ con un solo código base (React Native + Expo).</v>
      </c>
      <c r="E30" s="29" t="str">
        <f aca="false">'RNF Operativas Móvil'!E7</f>
        <v>Alta</v>
      </c>
      <c r="F30" s="30" t="n">
        <f aca="false">'RNF Operativas Móvil'!F7</f>
        <v>0</v>
      </c>
    </row>
    <row r="31" customFormat="false" ht="42" hidden="false" customHeight="true" outlineLevel="0" collapsed="false">
      <c r="B31" s="27" t="s">
        <v>141</v>
      </c>
      <c r="C31" s="28" t="str">
        <f aca="false">'RNF Operativas Móvil'!C8</f>
        <v>Retroalimentación</v>
      </c>
      <c r="D31" s="28" t="str">
        <f aca="false">'RNF Operativas Móvil'!D8</f>
        <v>Toda acción que tarde más de 300 ms muestra un indicador de carga anunciado al lector de pantalla.</v>
      </c>
      <c r="E31" s="29" t="str">
        <f aca="false">'RNF Operativas Móvil'!E8</f>
        <v>Media</v>
      </c>
      <c r="F31" s="30" t="n">
        <f aca="false">'RNF Operativas Móvil'!F8</f>
        <v>0</v>
      </c>
    </row>
    <row r="32" customFormat="false" ht="57" hidden="false" customHeight="true" outlineLevel="0" collapsed="false">
      <c r="B32" s="27" t="s">
        <v>142</v>
      </c>
      <c r="C32" s="28" t="str">
        <f aca="false">'RNF Operativas Móvil'!C9</f>
        <v>Tolerancia a fallas de red</v>
      </c>
      <c r="D32" s="28" t="str">
        <f aca="false">'RNF Operativas Móvil'!D9</f>
        <v>La app conserva en caché el último listado de vacantes y postulaciones y avisa cuando no hay conexión; los formularios no pierden lo capturado.</v>
      </c>
      <c r="E32" s="29" t="str">
        <f aca="false">'RNF Operativas Móvil'!E9</f>
        <v>Media</v>
      </c>
      <c r="F32" s="30" t="n">
        <f aca="false">'RNF Operativas Móvil'!F9</f>
        <v>0</v>
      </c>
    </row>
    <row r="33" customFormat="false" ht="30" hidden="false" customHeight="true" outlineLevel="0" collapsed="false">
      <c r="B33" s="31" t="s">
        <v>143</v>
      </c>
      <c r="C33" s="32" t="str">
        <f aca="false">'RNF Operativas Móvil'!C10</f>
        <v>Orientación</v>
      </c>
      <c r="D33" s="32" t="str">
        <f aca="false">'RNF Operativas Móvil'!D10</f>
        <v>Las pantallas funcionan en orientación vertical y horizontal.</v>
      </c>
      <c r="E33" s="33" t="str">
        <f aca="false">'RNF Operativas Móvil'!E10</f>
        <v>Baja</v>
      </c>
      <c r="F33" s="34" t="n">
        <f aca="false">'RNF Operativas Móvil'!F10</f>
        <v>0</v>
      </c>
    </row>
    <row r="34" customFormat="false" ht="15" hidden="false" customHeight="false" outlineLevel="0" collapsed="false">
      <c r="B34" s="36" t="s">
        <v>144</v>
      </c>
    </row>
    <row r="37" customFormat="false" ht="15" hidden="false" customHeight="true" outlineLevel="0" collapsed="false">
      <c r="B37" s="37" t="s">
        <v>145</v>
      </c>
      <c r="C37" s="38" t="s">
        <v>146</v>
      </c>
      <c r="D37" s="38"/>
    </row>
    <row r="38" customFormat="false" ht="15" hidden="false" customHeight="true" outlineLevel="0" collapsed="false">
      <c r="B38" s="39" t="s">
        <v>147</v>
      </c>
      <c r="C38" s="40" t="s">
        <v>148</v>
      </c>
      <c r="D38" s="40"/>
    </row>
    <row r="39" customFormat="false" ht="15" hidden="false" customHeight="true" outlineLevel="0" collapsed="false">
      <c r="B39" s="39" t="s">
        <v>149</v>
      </c>
      <c r="C39" s="40" t="s">
        <v>217</v>
      </c>
      <c r="D39" s="40"/>
    </row>
    <row r="40" customFormat="false" ht="15" hidden="false" customHeight="true" outlineLevel="0" collapsed="false">
      <c r="B40" s="41" t="s">
        <v>151</v>
      </c>
      <c r="C40" s="42" t="s">
        <v>152</v>
      </c>
      <c r="D40" s="42"/>
    </row>
    <row r="43" customFormat="false" ht="15" hidden="false" customHeight="false" outlineLevel="0" collapsed="false">
      <c r="B43" s="43" t="s">
        <v>153</v>
      </c>
      <c r="C43" s="43"/>
    </row>
    <row r="44" customFormat="false" ht="15" hidden="false" customHeight="false" outlineLevel="0" collapsed="false">
      <c r="B44" s="44" t="s">
        <v>154</v>
      </c>
      <c r="C44" s="45" t="s">
        <v>155</v>
      </c>
    </row>
    <row r="45" customFormat="false" ht="15" hidden="false" customHeight="false" outlineLevel="0" collapsed="false">
      <c r="B45" s="46" t="s">
        <v>156</v>
      </c>
      <c r="C45" s="45" t="s">
        <v>157</v>
      </c>
    </row>
    <row r="46" customFormat="false" ht="15" hidden="false" customHeight="false" outlineLevel="0" collapsed="false">
      <c r="B46" s="47" t="s">
        <v>158</v>
      </c>
      <c r="C46" s="48" t="s">
        <v>159</v>
      </c>
    </row>
    <row r="49" customFormat="false" ht="30" hidden="false" customHeight="true" outlineLevel="0" collapsed="false">
      <c r="B49" s="49" t="s">
        <v>160</v>
      </c>
      <c r="C49" s="50"/>
      <c r="D49" s="50"/>
    </row>
  </sheetData>
  <mergeCells count="10">
    <mergeCell ref="B3:F3"/>
    <mergeCell ref="B4:F4"/>
    <mergeCell ref="B12:F12"/>
    <mergeCell ref="B13:F13"/>
    <mergeCell ref="C37:D37"/>
    <mergeCell ref="C38:D38"/>
    <mergeCell ref="C39:D39"/>
    <mergeCell ref="C40:D40"/>
    <mergeCell ref="B43:C43"/>
    <mergeCell ref="C49:D49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5:F33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218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219</v>
      </c>
      <c r="D6" s="28" t="s">
        <v>220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221</v>
      </c>
      <c r="D7" s="28" t="s">
        <v>222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223</v>
      </c>
      <c r="D8" s="28" t="s">
        <v>224</v>
      </c>
      <c r="E8" s="29" t="s">
        <v>175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225</v>
      </c>
      <c r="D9" s="28" t="s">
        <v>226</v>
      </c>
      <c r="E9" s="29" t="s">
        <v>175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227</v>
      </c>
      <c r="D10" s="28" t="s">
        <v>228</v>
      </c>
      <c r="E10" s="29" t="s">
        <v>175</v>
      </c>
      <c r="F10" s="30" t="n">
        <v>0</v>
      </c>
    </row>
    <row r="11" customFormat="false" ht="42" hidden="false" customHeight="true" outlineLevel="0" collapsed="false">
      <c r="B11" s="31" t="s">
        <v>193</v>
      </c>
      <c r="C11" s="32" t="s">
        <v>229</v>
      </c>
      <c r="D11" s="32" t="s">
        <v>230</v>
      </c>
      <c r="E11" s="33" t="s">
        <v>215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231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139</v>
      </c>
      <c r="C26" s="28" t="str">
        <f aca="false">'RNF Operativas Móvil'!C6</f>
        <v>Desempeño</v>
      </c>
      <c r="D26" s="28" t="str">
        <f aca="false">'RNF Operativas Móvil'!D6</f>
        <v>Tiempo de respuesta de las pantallas ≤ 2 s en el percentil 95 sobre red 4G.</v>
      </c>
      <c r="E26" s="29" t="str">
        <f aca="false">'RNF Operativas Móvil'!E6</f>
        <v>Alta</v>
      </c>
      <c r="F26" s="30" t="n">
        <f aca="false">'RNF Operativas Móvil'!F6</f>
        <v>0</v>
      </c>
    </row>
    <row r="27" customFormat="false" ht="42" hidden="false" customHeight="true" outlineLevel="0" collapsed="false">
      <c r="B27" s="27" t="s">
        <v>140</v>
      </c>
      <c r="C27" s="28" t="str">
        <f aca="false">'RNF Operativas Móvil'!C7</f>
        <v>Compatibilidad</v>
      </c>
      <c r="D27" s="28" t="str">
        <f aca="false">'RNF Operativas Móvil'!D7</f>
        <v>Ejecutable en Android 8+ e iOS 15+ con un solo código base (React Native + Expo).</v>
      </c>
      <c r="E27" s="29" t="str">
        <f aca="false">'RNF Operativas Móvil'!E7</f>
        <v>Alta</v>
      </c>
      <c r="F27" s="30" t="n">
        <f aca="false">'RNF Operativas Móvil'!F7</f>
        <v>0</v>
      </c>
    </row>
    <row r="28" customFormat="false" ht="42" hidden="false" customHeight="true" outlineLevel="0" collapsed="false">
      <c r="B28" s="27" t="s">
        <v>141</v>
      </c>
      <c r="C28" s="28" t="str">
        <f aca="false">'RNF Operativas Móvil'!C8</f>
        <v>Retroalimentación</v>
      </c>
      <c r="D28" s="28" t="str">
        <f aca="false">'RNF Operativas Móvil'!D8</f>
        <v>Toda acción que tarde más de 300 ms muestra un indicador de carga anunciado al lector de pantalla.</v>
      </c>
      <c r="E28" s="29" t="str">
        <f aca="false">'RNF Operativas Móvil'!E8</f>
        <v>Media</v>
      </c>
      <c r="F28" s="30" t="n">
        <f aca="false">'RNF Operativas Móvil'!F8</f>
        <v>0</v>
      </c>
    </row>
    <row r="29" customFormat="false" ht="57" hidden="false" customHeight="true" outlineLevel="0" collapsed="false">
      <c r="B29" s="27" t="s">
        <v>142</v>
      </c>
      <c r="C29" s="28" t="str">
        <f aca="false">'RNF Operativas Móvil'!C9</f>
        <v>Tolerancia a fallas de red</v>
      </c>
      <c r="D29" s="28" t="str">
        <f aca="false">'RNF Operativas Móvil'!D9</f>
        <v>La app conserva en caché el último listado de vacantes y postulaciones y avisa cuando no hay conexión; los formularios no pierden lo capturado.</v>
      </c>
      <c r="E29" s="29" t="str">
        <f aca="false">'RNF Operativas Móvil'!E9</f>
        <v>Media</v>
      </c>
      <c r="F29" s="30" t="n">
        <f aca="false">'RNF Operativas Móvil'!F9</f>
        <v>0</v>
      </c>
    </row>
    <row r="30" customFormat="false" ht="30" hidden="false" customHeight="true" outlineLevel="0" collapsed="false">
      <c r="B30" s="27" t="s">
        <v>143</v>
      </c>
      <c r="C30" s="28" t="str">
        <f aca="false">'RNF Operativas Móvil'!C10</f>
        <v>Orientación</v>
      </c>
      <c r="D30" s="28" t="str">
        <f aca="false">'RNF Operativas Móvil'!D10</f>
        <v>Las pantallas funcionan en orientación vertical y horizontal.</v>
      </c>
      <c r="E30" s="29" t="str">
        <f aca="false">'RNF Operativas Móvil'!E10</f>
        <v>Baja</v>
      </c>
      <c r="F30" s="30" t="n">
        <f aca="false">'RNF Operativas Móvil'!F10</f>
        <v>0</v>
      </c>
    </row>
    <row r="31" customFormat="false" ht="42" hidden="false" customHeight="true" outlineLevel="0" collapsed="false">
      <c r="B31" s="27" t="s">
        <v>232</v>
      </c>
      <c r="C31" s="28" t="str">
        <f aca="false">'RNF Notificaciones'!C6</f>
        <v>Tiempo de entrega</v>
      </c>
      <c r="D31" s="28" t="str">
        <f aca="false">'RNF Notificaciones'!D6</f>
        <v>Las notificaciones push se envían en ≤ 1 min y los correos en ≤ 5 min tras el evento.</v>
      </c>
      <c r="E31" s="29" t="str">
        <f aca="false">'RNF Notificaciones'!E6</f>
        <v>Media</v>
      </c>
      <c r="F31" s="30" t="n">
        <f aca="false">'RNF Notificaciones'!F6</f>
        <v>0</v>
      </c>
    </row>
    <row r="32" customFormat="false" ht="42" hidden="false" customHeight="true" outlineLevel="0" collapsed="false">
      <c r="B32" s="27" t="s">
        <v>233</v>
      </c>
      <c r="C32" s="28" t="str">
        <f aca="false">'RNF Notificaciones'!C7</f>
        <v>Confiabilidad</v>
      </c>
      <c r="D32" s="28" t="str">
        <f aca="false">'RNF Notificaciones'!D7</f>
        <v>Los envíos fallidos se reintentan hasta 3 veces; el fallo de un canal no bloquea la operación que lo generó.</v>
      </c>
      <c r="E32" s="29" t="str">
        <f aca="false">'RNF Notificaciones'!E7</f>
        <v>Alta</v>
      </c>
      <c r="F32" s="30" t="n">
        <f aca="false">'RNF Notificaciones'!F7</f>
        <v>0</v>
      </c>
    </row>
    <row r="33" customFormat="false" ht="42" hidden="false" customHeight="true" outlineLevel="0" collapsed="false">
      <c r="B33" s="27" t="s">
        <v>234</v>
      </c>
      <c r="C33" s="28" t="str">
        <f aca="false">'RNF Notificaciones'!C8</f>
        <v>Correos accesibles</v>
      </c>
      <c r="D33" s="28" t="str">
        <f aca="false">'RNF Notificaciones'!D8</f>
        <v>Los correos incluyen versión en texto plano, estructura semántica y enlaces descriptivos.</v>
      </c>
      <c r="E33" s="29" t="str">
        <f aca="false">'RNF Notificaciones'!E8</f>
        <v>Media</v>
      </c>
      <c r="F33" s="30" t="n">
        <f aca="false">'RNF Notificaciones'!F8</f>
        <v>0</v>
      </c>
    </row>
    <row r="34" customFormat="false" ht="42" hidden="false" customHeight="true" outlineLevel="0" collapsed="false">
      <c r="B34" s="31" t="s">
        <v>235</v>
      </c>
      <c r="C34" s="32" t="str">
        <f aca="false">'RNF Notificaciones'!C9</f>
        <v>Contenido mínimo</v>
      </c>
      <c r="D34" s="32" t="str">
        <f aca="false">'RNF Notificaciones'!D9</f>
        <v>Las notificaciones push no incluyen datos personales sensibles; el detalle se consulta dentro de la app.</v>
      </c>
      <c r="E34" s="33" t="str">
        <f aca="false">'RNF Notificaciones'!E9</f>
        <v>Alta</v>
      </c>
      <c r="F34" s="34" t="n">
        <f aca="false">'RNF Notificaciones'!F9</f>
        <v>0</v>
      </c>
    </row>
    <row r="35" customFormat="false" ht="15" hidden="false" customHeight="false" outlineLevel="0" collapsed="false">
      <c r="B35" s="36" t="s">
        <v>144</v>
      </c>
    </row>
    <row r="38" customFormat="false" ht="15" hidden="false" customHeight="true" outlineLevel="0" collapsed="false">
      <c r="B38" s="37" t="s">
        <v>145</v>
      </c>
      <c r="C38" s="38" t="s">
        <v>146</v>
      </c>
      <c r="D38" s="38"/>
    </row>
    <row r="39" customFormat="false" ht="15" hidden="false" customHeight="true" outlineLevel="0" collapsed="false">
      <c r="B39" s="39" t="s">
        <v>147</v>
      </c>
      <c r="C39" s="40" t="s">
        <v>148</v>
      </c>
      <c r="D39" s="40"/>
    </row>
    <row r="40" customFormat="false" ht="15" hidden="false" customHeight="true" outlineLevel="0" collapsed="false">
      <c r="B40" s="39" t="s">
        <v>149</v>
      </c>
      <c r="C40" s="40" t="s">
        <v>236</v>
      </c>
      <c r="D40" s="40"/>
    </row>
    <row r="41" customFormat="false" ht="15" hidden="false" customHeight="true" outlineLevel="0" collapsed="false">
      <c r="B41" s="41" t="s">
        <v>151</v>
      </c>
      <c r="C41" s="42" t="s">
        <v>152</v>
      </c>
      <c r="D41" s="42"/>
    </row>
    <row r="44" customFormat="false" ht="15" hidden="false" customHeight="false" outlineLevel="0" collapsed="false">
      <c r="B44" s="43" t="s">
        <v>153</v>
      </c>
      <c r="C44" s="43"/>
    </row>
    <row r="45" customFormat="false" ht="15" hidden="false" customHeight="false" outlineLevel="0" collapsed="false">
      <c r="B45" s="44" t="s">
        <v>154</v>
      </c>
      <c r="C45" s="45" t="s">
        <v>155</v>
      </c>
    </row>
    <row r="46" customFormat="false" ht="15" hidden="false" customHeight="false" outlineLevel="0" collapsed="false">
      <c r="B46" s="46" t="s">
        <v>156</v>
      </c>
      <c r="C46" s="45" t="s">
        <v>157</v>
      </c>
    </row>
    <row r="47" customFormat="false" ht="15" hidden="false" customHeight="false" outlineLevel="0" collapsed="false">
      <c r="B47" s="47" t="s">
        <v>158</v>
      </c>
      <c r="C47" s="48" t="s">
        <v>159</v>
      </c>
    </row>
    <row r="50" customFormat="false" ht="30" hidden="false" customHeight="true" outlineLevel="0" collapsed="false">
      <c r="B50" s="49" t="s">
        <v>160</v>
      </c>
      <c r="C50" s="50"/>
      <c r="D50" s="50"/>
    </row>
  </sheetData>
  <mergeCells count="10">
    <mergeCell ref="B3:F3"/>
    <mergeCell ref="B4:F4"/>
    <mergeCell ref="B14:F14"/>
    <mergeCell ref="B15:F15"/>
    <mergeCell ref="C38:D38"/>
    <mergeCell ref="C39:D39"/>
    <mergeCell ref="C40:D40"/>
    <mergeCell ref="C41:D41"/>
    <mergeCell ref="B44:C44"/>
    <mergeCell ref="C50:D50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4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237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238</v>
      </c>
      <c r="D6" s="28" t="s">
        <v>239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240</v>
      </c>
      <c r="D7" s="28" t="s">
        <v>241</v>
      </c>
      <c r="E7" s="29" t="s">
        <v>123</v>
      </c>
      <c r="F7" s="30" t="n">
        <v>0</v>
      </c>
    </row>
    <row r="8" customFormat="false" ht="72" hidden="false" customHeight="true" outlineLevel="0" collapsed="false">
      <c r="B8" s="27" t="s">
        <v>166</v>
      </c>
      <c r="C8" s="28" t="s">
        <v>242</v>
      </c>
      <c r="D8" s="28" t="s">
        <v>243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244</v>
      </c>
      <c r="D9" s="28" t="s">
        <v>245</v>
      </c>
      <c r="E9" s="29" t="s">
        <v>123</v>
      </c>
      <c r="F9" s="30" t="n">
        <v>0</v>
      </c>
    </row>
    <row r="10" customFormat="false" ht="57" hidden="false" customHeight="true" outlineLevel="0" collapsed="false">
      <c r="B10" s="27" t="s">
        <v>172</v>
      </c>
      <c r="C10" s="28" t="s">
        <v>246</v>
      </c>
      <c r="D10" s="28" t="s">
        <v>247</v>
      </c>
      <c r="E10" s="29" t="s">
        <v>175</v>
      </c>
      <c r="F10" s="30" t="n">
        <v>0</v>
      </c>
    </row>
    <row r="11" customFormat="false" ht="57" hidden="false" customHeight="true" outlineLevel="0" collapsed="false">
      <c r="B11" s="31" t="s">
        <v>193</v>
      </c>
      <c r="C11" s="32" t="s">
        <v>248</v>
      </c>
      <c r="D11" s="32" t="s">
        <v>249</v>
      </c>
      <c r="E11" s="33" t="s">
        <v>175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250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139</v>
      </c>
      <c r="C26" s="28" t="str">
        <f aca="false">'RNF Operativas Móvil'!C6</f>
        <v>Desempeño</v>
      </c>
      <c r="D26" s="28" t="str">
        <f aca="false">'RNF Operativas Móvil'!D6</f>
        <v>Tiempo de respuesta de las pantallas ≤ 2 s en el percentil 95 sobre red 4G.</v>
      </c>
      <c r="E26" s="29" t="str">
        <f aca="false">'RNF Operativas Móvil'!E6</f>
        <v>Alta</v>
      </c>
      <c r="F26" s="30" t="n">
        <f aca="false">'RNF Operativas Móvil'!F6</f>
        <v>0</v>
      </c>
    </row>
    <row r="27" customFormat="false" ht="42" hidden="false" customHeight="true" outlineLevel="0" collapsed="false">
      <c r="B27" s="27" t="s">
        <v>140</v>
      </c>
      <c r="C27" s="28" t="str">
        <f aca="false">'RNF Operativas Móvil'!C7</f>
        <v>Compatibilidad</v>
      </c>
      <c r="D27" s="28" t="str">
        <f aca="false">'RNF Operativas Móvil'!D7</f>
        <v>Ejecutable en Android 8+ e iOS 15+ con un solo código base (React Native + Expo).</v>
      </c>
      <c r="E27" s="29" t="str">
        <f aca="false">'RNF Operativas Móvil'!E7</f>
        <v>Alta</v>
      </c>
      <c r="F27" s="30" t="n">
        <f aca="false">'RNF Operativas Móvil'!F7</f>
        <v>0</v>
      </c>
    </row>
    <row r="28" customFormat="false" ht="42" hidden="false" customHeight="true" outlineLevel="0" collapsed="false">
      <c r="B28" s="27" t="s">
        <v>141</v>
      </c>
      <c r="C28" s="28" t="str">
        <f aca="false">'RNF Operativas Móvil'!C8</f>
        <v>Retroalimentación</v>
      </c>
      <c r="D28" s="28" t="str">
        <f aca="false">'RNF Operativas Móvil'!D8</f>
        <v>Toda acción que tarde más de 300 ms muestra un indicador de carga anunciado al lector de pantalla.</v>
      </c>
      <c r="E28" s="29" t="str">
        <f aca="false">'RNF Operativas Móvil'!E8</f>
        <v>Media</v>
      </c>
      <c r="F28" s="30" t="n">
        <f aca="false">'RNF Operativas Móvil'!F8</f>
        <v>0</v>
      </c>
    </row>
    <row r="29" customFormat="false" ht="57" hidden="false" customHeight="true" outlineLevel="0" collapsed="false">
      <c r="B29" s="27" t="s">
        <v>142</v>
      </c>
      <c r="C29" s="28" t="str">
        <f aca="false">'RNF Operativas Móvil'!C9</f>
        <v>Tolerancia a fallas de red</v>
      </c>
      <c r="D29" s="28" t="str">
        <f aca="false">'RNF Operativas Móvil'!D9</f>
        <v>La app conserva en caché el último listado de vacantes y postulaciones y avisa cuando no hay conexión; los formularios no pierden lo capturado.</v>
      </c>
      <c r="E29" s="29" t="str">
        <f aca="false">'RNF Operativas Móvil'!E9</f>
        <v>Media</v>
      </c>
      <c r="F29" s="30" t="n">
        <f aca="false">'RNF Operativas Móvil'!F9</f>
        <v>0</v>
      </c>
    </row>
    <row r="30" customFormat="false" ht="30" hidden="false" customHeight="true" outlineLevel="0" collapsed="false">
      <c r="B30" s="31" t="s">
        <v>143</v>
      </c>
      <c r="C30" s="32" t="str">
        <f aca="false">'RNF Operativas Móvil'!C10</f>
        <v>Orientación</v>
      </c>
      <c r="D30" s="32" t="str">
        <f aca="false">'RNF Operativas Móvil'!D10</f>
        <v>Las pantallas funcionan en orientación vertical y horizontal.</v>
      </c>
      <c r="E30" s="33" t="str">
        <f aca="false">'RNF Operativas Móvil'!E10</f>
        <v>Baja</v>
      </c>
      <c r="F30" s="34" t="n">
        <f aca="false">'RNF Operativas Móvil'!F10</f>
        <v>0</v>
      </c>
    </row>
    <row r="31" customFormat="false" ht="15" hidden="false" customHeight="false" outlineLevel="0" collapsed="false">
      <c r="B31" s="36" t="s">
        <v>144</v>
      </c>
    </row>
    <row r="34" customFormat="false" ht="15" hidden="false" customHeight="true" outlineLevel="0" collapsed="false">
      <c r="B34" s="37" t="s">
        <v>145</v>
      </c>
      <c r="C34" s="38" t="s">
        <v>146</v>
      </c>
      <c r="D34" s="38"/>
    </row>
    <row r="35" customFormat="false" ht="15" hidden="false" customHeight="true" outlineLevel="0" collapsed="false">
      <c r="B35" s="39" t="s">
        <v>147</v>
      </c>
      <c r="C35" s="40" t="s">
        <v>148</v>
      </c>
      <c r="D35" s="40"/>
    </row>
    <row r="36" customFormat="false" ht="15" hidden="false" customHeight="true" outlineLevel="0" collapsed="false">
      <c r="B36" s="39" t="s">
        <v>149</v>
      </c>
      <c r="C36" s="40" t="s">
        <v>251</v>
      </c>
      <c r="D36" s="40"/>
    </row>
    <row r="37" customFormat="false" ht="15" hidden="false" customHeight="true" outlineLevel="0" collapsed="false">
      <c r="B37" s="41" t="s">
        <v>151</v>
      </c>
      <c r="C37" s="42" t="s">
        <v>152</v>
      </c>
      <c r="D37" s="42"/>
    </row>
    <row r="40" customFormat="false" ht="15" hidden="false" customHeight="false" outlineLevel="0" collapsed="false">
      <c r="B40" s="43" t="s">
        <v>153</v>
      </c>
      <c r="C40" s="43"/>
    </row>
    <row r="41" customFormat="false" ht="15" hidden="false" customHeight="false" outlineLevel="0" collapsed="false">
      <c r="B41" s="44" t="s">
        <v>154</v>
      </c>
      <c r="C41" s="45" t="s">
        <v>155</v>
      </c>
    </row>
    <row r="42" customFormat="false" ht="15" hidden="false" customHeight="false" outlineLevel="0" collapsed="false">
      <c r="B42" s="46" t="s">
        <v>156</v>
      </c>
      <c r="C42" s="45" t="s">
        <v>157</v>
      </c>
    </row>
    <row r="43" customFormat="false" ht="15" hidden="false" customHeight="false" outlineLevel="0" collapsed="false">
      <c r="B43" s="47" t="s">
        <v>158</v>
      </c>
      <c r="C43" s="48" t="s">
        <v>159</v>
      </c>
    </row>
    <row r="46" customFormat="false" ht="30" hidden="false" customHeight="true" outlineLevel="0" collapsed="false">
      <c r="B46" s="49" t="s">
        <v>160</v>
      </c>
      <c r="C46" s="50"/>
      <c r="D46" s="50"/>
    </row>
  </sheetData>
  <mergeCells count="10">
    <mergeCell ref="B3:F3"/>
    <mergeCell ref="B4:F4"/>
    <mergeCell ref="B14:F14"/>
    <mergeCell ref="B15:F15"/>
    <mergeCell ref="C34:D34"/>
    <mergeCell ref="C35:D35"/>
    <mergeCell ref="C36:D36"/>
    <mergeCell ref="C37:D37"/>
    <mergeCell ref="B40:C40"/>
    <mergeCell ref="C46:D46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0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252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253</v>
      </c>
      <c r="D6" s="28" t="s">
        <v>254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255</v>
      </c>
      <c r="D7" s="28" t="s">
        <v>256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257</v>
      </c>
      <c r="D8" s="28" t="s">
        <v>258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259</v>
      </c>
      <c r="D9" s="28" t="s">
        <v>260</v>
      </c>
      <c r="E9" s="29" t="s">
        <v>123</v>
      </c>
      <c r="F9" s="30" t="n">
        <v>0</v>
      </c>
    </row>
    <row r="10" customFormat="false" ht="72" hidden="false" customHeight="true" outlineLevel="0" collapsed="false">
      <c r="B10" s="27" t="s">
        <v>172</v>
      </c>
      <c r="C10" s="28" t="s">
        <v>261</v>
      </c>
      <c r="D10" s="28" t="s">
        <v>262</v>
      </c>
      <c r="E10" s="29" t="s">
        <v>123</v>
      </c>
      <c r="F10" s="30" t="n">
        <v>0</v>
      </c>
    </row>
    <row r="11" customFormat="false" ht="57" hidden="false" customHeight="true" outlineLevel="0" collapsed="false">
      <c r="B11" s="27" t="s">
        <v>193</v>
      </c>
      <c r="C11" s="28" t="s">
        <v>263</v>
      </c>
      <c r="D11" s="28" t="s">
        <v>264</v>
      </c>
      <c r="E11" s="29" t="s">
        <v>175</v>
      </c>
      <c r="F11" s="30" t="n">
        <v>0</v>
      </c>
    </row>
    <row r="12" customFormat="false" ht="57" hidden="false" customHeight="true" outlineLevel="0" collapsed="false">
      <c r="B12" s="27" t="s">
        <v>196</v>
      </c>
      <c r="C12" s="28" t="s">
        <v>265</v>
      </c>
      <c r="D12" s="28" t="s">
        <v>266</v>
      </c>
      <c r="E12" s="29" t="s">
        <v>123</v>
      </c>
      <c r="F12" s="30" t="n">
        <v>0</v>
      </c>
    </row>
    <row r="13" customFormat="false" ht="42" hidden="false" customHeight="true" outlineLevel="0" collapsed="false">
      <c r="B13" s="27" t="s">
        <v>267</v>
      </c>
      <c r="C13" s="28" t="s">
        <v>268</v>
      </c>
      <c r="D13" s="28" t="s">
        <v>269</v>
      </c>
      <c r="E13" s="29" t="s">
        <v>175</v>
      </c>
      <c r="F13" s="30" t="n">
        <v>0</v>
      </c>
    </row>
    <row r="14" customFormat="false" ht="30" hidden="false" customHeight="true" outlineLevel="0" collapsed="false">
      <c r="B14" s="31" t="s">
        <v>270</v>
      </c>
      <c r="C14" s="32" t="s">
        <v>271</v>
      </c>
      <c r="D14" s="32" t="s">
        <v>272</v>
      </c>
      <c r="E14" s="33" t="s">
        <v>215</v>
      </c>
      <c r="F14" s="34" t="n">
        <v>0</v>
      </c>
    </row>
    <row r="17" customFormat="false" ht="48.75" hidden="false" customHeight="true" outlineLevel="0" collapsed="false">
      <c r="B17" s="35" t="s">
        <v>127</v>
      </c>
      <c r="C17" s="35"/>
      <c r="D17" s="35"/>
      <c r="E17" s="35"/>
      <c r="F17" s="35"/>
    </row>
    <row r="18" customFormat="false" ht="48" hidden="false" customHeight="true" outlineLevel="0" collapsed="false">
      <c r="B18" s="23" t="s">
        <v>273</v>
      </c>
      <c r="C18" s="23"/>
      <c r="D18" s="23"/>
      <c r="E18" s="23"/>
      <c r="F18" s="23"/>
    </row>
    <row r="19" customFormat="false" ht="22.5" hidden="false" customHeight="true" outlineLevel="0" collapsed="false">
      <c r="B19" s="24" t="s">
        <v>116</v>
      </c>
      <c r="C19" s="25" t="s">
        <v>129</v>
      </c>
      <c r="D19" s="25" t="s">
        <v>118</v>
      </c>
      <c r="E19" s="25" t="s">
        <v>119</v>
      </c>
      <c r="F19" s="26" t="s">
        <v>75</v>
      </c>
    </row>
    <row r="20" customFormat="false" ht="42" hidden="false" customHeight="true" outlineLevel="0" collapsed="false">
      <c r="B20" s="27" t="s">
        <v>130</v>
      </c>
      <c r="C20" s="28" t="str">
        <f aca="false">'RNF Accesibilidad'!C6</f>
        <v>Estándar de accesibilidad</v>
      </c>
      <c r="D20" s="28" t="str">
        <f aca="false">'RNF Accesibilidad'!D6</f>
        <v>Las interfaces cumplen las pautas WCAG 2.1 nivel AA.</v>
      </c>
      <c r="E20" s="29" t="str">
        <f aca="false">'RNF Accesibilidad'!E6</f>
        <v>Alta</v>
      </c>
      <c r="F20" s="30" t="n">
        <f aca="false">'RNF Accesibilidad'!F6</f>
        <v>0</v>
      </c>
    </row>
    <row r="21" customFormat="false" ht="72" hidden="false" customHeight="true" outlineLevel="0" collapsed="false">
      <c r="B21" s="27" t="s">
        <v>131</v>
      </c>
      <c r="C21" s="28" t="str">
        <f aca="false">'RNF Accesibilidad'!C7</f>
        <v>Lectores de pantalla</v>
      </c>
      <c r="D21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21" s="29" t="str">
        <f aca="false">'RNF Accesibilidad'!E7</f>
        <v>Alta</v>
      </c>
      <c r="F21" s="30" t="n">
        <f aca="false">'RNF Accesibilidad'!F7</f>
        <v>0</v>
      </c>
    </row>
    <row r="22" customFormat="false" ht="42" hidden="false" customHeight="true" outlineLevel="0" collapsed="false">
      <c r="B22" s="27" t="s">
        <v>132</v>
      </c>
      <c r="C22" s="28" t="str">
        <f aca="false">'RNF Accesibilidad'!C8</f>
        <v>Contraste</v>
      </c>
      <c r="D22" s="28" t="str">
        <f aca="false">'RNF Accesibilidad'!D8</f>
        <v>Contraste mínimo de 4.5:1 para texto normal y 3:1 para texto grande y componentes de interfaz.</v>
      </c>
      <c r="E22" s="29" t="str">
        <f aca="false">'RNF Accesibilidad'!E8</f>
        <v>Alta</v>
      </c>
      <c r="F22" s="30" t="n">
        <f aca="false">'RNF Accesibilidad'!F8</f>
        <v>0</v>
      </c>
    </row>
    <row r="23" customFormat="false" ht="57" hidden="false" customHeight="true" outlineLevel="0" collapsed="false">
      <c r="B23" s="27" t="s">
        <v>133</v>
      </c>
      <c r="C23" s="28" t="str">
        <f aca="false">'RNF Accesibilidad'!C9</f>
        <v>Texto escalable</v>
      </c>
      <c r="D23" s="28" t="str">
        <f aca="false">'RNF Accesibilidad'!D9</f>
        <v>La interfaz respeta el tamaño de fuente del sistema y admite hasta 200 % de ampliación sin pérdida de contenido ni funcionalidad.</v>
      </c>
      <c r="E23" s="29" t="str">
        <f aca="false">'RNF Accesibilidad'!E9</f>
        <v>Alta</v>
      </c>
      <c r="F23" s="30" t="n">
        <f aca="false">'RNF Accesibilidad'!F9</f>
        <v>0</v>
      </c>
    </row>
    <row r="24" customFormat="false" ht="42" hidden="false" customHeight="true" outlineLevel="0" collapsed="false">
      <c r="B24" s="27" t="s">
        <v>134</v>
      </c>
      <c r="C24" s="28" t="str">
        <f aca="false">'RNF Accesibilidad'!C10</f>
        <v>Áreas táctiles</v>
      </c>
      <c r="D24" s="28" t="str">
        <f aca="false">'RNF Accesibilidad'!D10</f>
        <v>Los componentes táctiles tienen un área mínima de 48 × 48 dp en Android y 44 × 44 pt en iOS.</v>
      </c>
      <c r="E24" s="29" t="str">
        <f aca="false">'RNF Accesibilidad'!E10</f>
        <v>Alta</v>
      </c>
      <c r="F24" s="30" t="n">
        <f aca="false">'RNF Accesibilidad'!F10</f>
        <v>0</v>
      </c>
    </row>
    <row r="25" customFormat="false" ht="42" hidden="false" customHeight="true" outlineLevel="0" collapsed="false">
      <c r="B25" s="27" t="s">
        <v>135</v>
      </c>
      <c r="C25" s="28" t="str">
        <f aca="false">'RNF Accesibilidad'!C11</f>
        <v>Información no dependiente del color</v>
      </c>
      <c r="D25" s="28" t="str">
        <f aca="false">'RNF Accesibilidad'!D11</f>
        <v>Estados, errores y porcentajes se comunican con texto o ícono además del color.</v>
      </c>
      <c r="E25" s="29" t="str">
        <f aca="false">'RNF Accesibilidad'!E11</f>
        <v>Alta</v>
      </c>
      <c r="F25" s="30" t="n">
        <f aca="false">'RNF Accesibilidad'!F11</f>
        <v>0</v>
      </c>
    </row>
    <row r="26" customFormat="false" ht="57" hidden="false" customHeight="true" outlineLevel="0" collapsed="false">
      <c r="B26" s="27" t="s">
        <v>136</v>
      </c>
      <c r="C26" s="28" t="str">
        <f aca="false">'RNF Accesibilidad'!C12</f>
        <v>Navegación por teclado</v>
      </c>
      <c r="D26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6" s="29" t="str">
        <f aca="false">'RNF Accesibilidad'!E12</f>
        <v>Alta</v>
      </c>
      <c r="F26" s="30" t="n">
        <f aca="false">'RNF Accesibilidad'!F12</f>
        <v>0</v>
      </c>
    </row>
    <row r="27" customFormat="false" ht="42" hidden="false" customHeight="true" outlineLevel="0" collapsed="false">
      <c r="B27" s="27" t="s">
        <v>137</v>
      </c>
      <c r="C27" s="28" t="str">
        <f aca="false">'RNF Accesibilidad'!C13</f>
        <v>Lenguaje claro</v>
      </c>
      <c r="D27" s="28" t="str">
        <f aca="false">'RNF Accesibilidad'!D13</f>
        <v>Textos en lenguaje claro y sin tecnicismos; los errores de formulario indican qué campo falla y cómo corregirlo.</v>
      </c>
      <c r="E27" s="29" t="str">
        <f aca="false">'RNF Accesibilidad'!E13</f>
        <v>Media</v>
      </c>
      <c r="F27" s="30" t="n">
        <f aca="false">'RNF Accesibilidad'!F13</f>
        <v>0</v>
      </c>
    </row>
    <row r="28" customFormat="false" ht="42" hidden="false" customHeight="true" outlineLevel="0" collapsed="false">
      <c r="B28" s="27" t="s">
        <v>138</v>
      </c>
      <c r="C28" s="28" t="str">
        <f aca="false">'RNF Accesibilidad'!C14</f>
        <v>Movimiento reducido</v>
      </c>
      <c r="D28" s="28" t="str">
        <f aca="false">'RNF Accesibilidad'!D14</f>
        <v>Se respeta la preferencia de «reducir movimiento» del sistema y no hay contenido parpadeante.</v>
      </c>
      <c r="E28" s="29" t="str">
        <f aca="false">'RNF Accesibilidad'!E14</f>
        <v>Baja</v>
      </c>
      <c r="F28" s="30" t="n">
        <f aca="false">'RNF Accesibilidad'!F14</f>
        <v>0</v>
      </c>
    </row>
    <row r="29" customFormat="false" ht="72" hidden="false" customHeight="true" outlineLevel="0" collapsed="false">
      <c r="B29" s="27" t="s">
        <v>200</v>
      </c>
      <c r="C29" s="28" t="str">
        <f aca="false">'RNF Privacidad'!C6</f>
        <v>Cumplimiento legal</v>
      </c>
      <c r="D29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29" s="29" t="str">
        <f aca="false">'RNF Privacidad'!E6</f>
        <v>Alta</v>
      </c>
      <c r="F29" s="30" t="n">
        <f aca="false">'RNF Privacidad'!F6</f>
        <v>0</v>
      </c>
    </row>
    <row r="30" customFormat="false" ht="42" hidden="false" customHeight="true" outlineLevel="0" collapsed="false">
      <c r="B30" s="27" t="s">
        <v>201</v>
      </c>
      <c r="C30" s="28" t="str">
        <f aca="false">'RNF Privacidad'!C7</f>
        <v>Minimización de datos</v>
      </c>
      <c r="D30" s="28" t="str">
        <f aca="false">'RNF Privacidad'!D7</f>
        <v>El sistema registra necesidades de ajuste y no diagnósticos, tipos de discapacidad ni documentos médicos.</v>
      </c>
      <c r="E30" s="29" t="str">
        <f aca="false">'RNF Privacidad'!E7</f>
        <v>Alta</v>
      </c>
      <c r="F30" s="30" t="n">
        <f aca="false">'RNF Privacidad'!F7</f>
        <v>0</v>
      </c>
    </row>
    <row r="31" customFormat="false" ht="57" hidden="false" customHeight="true" outlineLevel="0" collapsed="false">
      <c r="B31" s="27" t="s">
        <v>202</v>
      </c>
      <c r="C31" s="28" t="str">
        <f aca="false">'RNF Privacidad'!C8</f>
        <v>Control del candidato</v>
      </c>
      <c r="D31" s="28" t="str">
        <f aca="false">'RNF Privacidad'!D8</f>
        <v>Las necesidades de ajuste solo son visibles para el candidato y para las empresas a cuyas vacantes se postuló con consentimiento; el administrador solo ve datos agregados.</v>
      </c>
      <c r="E31" s="29" t="str">
        <f aca="false">'RNF Privacidad'!E8</f>
        <v>Alta</v>
      </c>
      <c r="F31" s="30" t="n">
        <f aca="false">'RNF Privacidad'!F8</f>
        <v>0</v>
      </c>
    </row>
    <row r="32" customFormat="false" ht="57" hidden="false" customHeight="true" outlineLevel="0" collapsed="false">
      <c r="B32" s="27" t="s">
        <v>203</v>
      </c>
      <c r="C32" s="28" t="str">
        <f aca="false">'RNF Privacidad'!C9</f>
        <v>Derechos ARCO</v>
      </c>
      <c r="D32" s="28" t="str">
        <f aca="false">'RNF Privacidad'!D9</f>
        <v>El candidato puede consultar, corregir y eliminar sus datos; la eliminación anonimiza sus postulaciones históricas en un plazo máximo de 30 días.</v>
      </c>
      <c r="E32" s="29" t="str">
        <f aca="false">'RNF Privacidad'!E9</f>
        <v>Alta</v>
      </c>
      <c r="F32" s="30" t="n">
        <f aca="false">'RNF Privacidad'!F9</f>
        <v>0</v>
      </c>
    </row>
    <row r="33" customFormat="false" ht="42" hidden="false" customHeight="true" outlineLevel="0" collapsed="false">
      <c r="B33" s="27" t="s">
        <v>204</v>
      </c>
      <c r="C33" s="28" t="str">
        <f aca="false">'RNF Privacidad'!C10</f>
        <v>Registros sin datos sensibles</v>
      </c>
      <c r="D33" s="28" t="str">
        <f aca="false">'RNF Privacidad'!D10</f>
        <v>Los logs del servidor y los mensajes push no incluyen necesidades de ajuste ni datos de contacto.</v>
      </c>
      <c r="E33" s="29" t="str">
        <f aca="false">'RNF Privacidad'!E10</f>
        <v>Alta</v>
      </c>
      <c r="F33" s="30" t="n">
        <f aca="false">'RNF Privacidad'!F10</f>
        <v>0</v>
      </c>
    </row>
    <row r="34" customFormat="false" ht="42" hidden="false" customHeight="true" outlineLevel="0" collapsed="false">
      <c r="B34" s="27" t="s">
        <v>139</v>
      </c>
      <c r="C34" s="28" t="str">
        <f aca="false">'RNF Operativas Móvil'!C6</f>
        <v>Desempeño</v>
      </c>
      <c r="D34" s="28" t="str">
        <f aca="false">'RNF Operativas Móvil'!D6</f>
        <v>Tiempo de respuesta de las pantallas ≤ 2 s en el percentil 95 sobre red 4G.</v>
      </c>
      <c r="E34" s="29" t="str">
        <f aca="false">'RNF Operativas Móvil'!E6</f>
        <v>Alta</v>
      </c>
      <c r="F34" s="30" t="n">
        <f aca="false">'RNF Operativas Móvil'!F6</f>
        <v>0</v>
      </c>
    </row>
    <row r="35" customFormat="false" ht="42" hidden="false" customHeight="true" outlineLevel="0" collapsed="false">
      <c r="B35" s="27" t="s">
        <v>140</v>
      </c>
      <c r="C35" s="28" t="str">
        <f aca="false">'RNF Operativas Móvil'!C7</f>
        <v>Compatibilidad</v>
      </c>
      <c r="D35" s="28" t="str">
        <f aca="false">'RNF Operativas Móvil'!D7</f>
        <v>Ejecutable en Android 8+ e iOS 15+ con un solo código base (React Native + Expo).</v>
      </c>
      <c r="E35" s="29" t="str">
        <f aca="false">'RNF Operativas Móvil'!E7</f>
        <v>Alta</v>
      </c>
      <c r="F35" s="30" t="n">
        <f aca="false">'RNF Operativas Móvil'!F7</f>
        <v>0</v>
      </c>
    </row>
    <row r="36" customFormat="false" ht="42" hidden="false" customHeight="true" outlineLevel="0" collapsed="false">
      <c r="B36" s="27" t="s">
        <v>141</v>
      </c>
      <c r="C36" s="28" t="str">
        <f aca="false">'RNF Operativas Móvil'!C8</f>
        <v>Retroalimentación</v>
      </c>
      <c r="D36" s="28" t="str">
        <f aca="false">'RNF Operativas Móvil'!D8</f>
        <v>Toda acción que tarde más de 300 ms muestra un indicador de carga anunciado al lector de pantalla.</v>
      </c>
      <c r="E36" s="29" t="str">
        <f aca="false">'RNF Operativas Móvil'!E8</f>
        <v>Media</v>
      </c>
      <c r="F36" s="30" t="n">
        <f aca="false">'RNF Operativas Móvil'!F8</f>
        <v>0</v>
      </c>
    </row>
    <row r="37" customFormat="false" ht="57" hidden="false" customHeight="true" outlineLevel="0" collapsed="false">
      <c r="B37" s="27" t="s">
        <v>142</v>
      </c>
      <c r="C37" s="28" t="str">
        <f aca="false">'RNF Operativas Móvil'!C9</f>
        <v>Tolerancia a fallas de red</v>
      </c>
      <c r="D37" s="28" t="str">
        <f aca="false">'RNF Operativas Móvil'!D9</f>
        <v>La app conserva en caché el último listado de vacantes y postulaciones y avisa cuando no hay conexión; los formularios no pierden lo capturado.</v>
      </c>
      <c r="E37" s="29" t="str">
        <f aca="false">'RNF Operativas Móvil'!E9</f>
        <v>Media</v>
      </c>
      <c r="F37" s="30" t="n">
        <f aca="false">'RNF Operativas Móvil'!F9</f>
        <v>0</v>
      </c>
    </row>
    <row r="38" customFormat="false" ht="30" hidden="false" customHeight="true" outlineLevel="0" collapsed="false">
      <c r="B38" s="31" t="s">
        <v>143</v>
      </c>
      <c r="C38" s="32" t="str">
        <f aca="false">'RNF Operativas Móvil'!C10</f>
        <v>Orientación</v>
      </c>
      <c r="D38" s="32" t="str">
        <f aca="false">'RNF Operativas Móvil'!D10</f>
        <v>Las pantallas funcionan en orientación vertical y horizontal.</v>
      </c>
      <c r="E38" s="33" t="str">
        <f aca="false">'RNF Operativas Móvil'!E10</f>
        <v>Baja</v>
      </c>
      <c r="F38" s="34" t="n">
        <f aca="false">'RNF Operativas Móvil'!F10</f>
        <v>0</v>
      </c>
    </row>
    <row r="39" customFormat="false" ht="15" hidden="false" customHeight="false" outlineLevel="0" collapsed="false">
      <c r="B39" s="36" t="s">
        <v>144</v>
      </c>
    </row>
    <row r="42" customFormat="false" ht="15" hidden="false" customHeight="true" outlineLevel="0" collapsed="false">
      <c r="B42" s="37" t="s">
        <v>145</v>
      </c>
      <c r="C42" s="38" t="s">
        <v>146</v>
      </c>
      <c r="D42" s="38"/>
    </row>
    <row r="43" customFormat="false" ht="15" hidden="false" customHeight="true" outlineLevel="0" collapsed="false">
      <c r="B43" s="39" t="s">
        <v>147</v>
      </c>
      <c r="C43" s="40" t="s">
        <v>148</v>
      </c>
      <c r="D43" s="40"/>
    </row>
    <row r="44" customFormat="false" ht="15" hidden="false" customHeight="true" outlineLevel="0" collapsed="false">
      <c r="B44" s="39" t="s">
        <v>149</v>
      </c>
      <c r="C44" s="40" t="s">
        <v>274</v>
      </c>
      <c r="D44" s="40"/>
    </row>
    <row r="45" customFormat="false" ht="15" hidden="false" customHeight="true" outlineLevel="0" collapsed="false">
      <c r="B45" s="41" t="s">
        <v>151</v>
      </c>
      <c r="C45" s="42" t="s">
        <v>152</v>
      </c>
      <c r="D45" s="42"/>
    </row>
    <row r="48" customFormat="false" ht="15" hidden="false" customHeight="false" outlineLevel="0" collapsed="false">
      <c r="B48" s="43" t="s">
        <v>153</v>
      </c>
      <c r="C48" s="43"/>
    </row>
    <row r="49" customFormat="false" ht="15" hidden="false" customHeight="false" outlineLevel="0" collapsed="false">
      <c r="B49" s="44" t="s">
        <v>154</v>
      </c>
      <c r="C49" s="45" t="s">
        <v>155</v>
      </c>
    </row>
    <row r="50" customFormat="false" ht="15" hidden="false" customHeight="false" outlineLevel="0" collapsed="false">
      <c r="B50" s="46" t="s">
        <v>156</v>
      </c>
      <c r="C50" s="45" t="s">
        <v>157</v>
      </c>
    </row>
    <row r="51" customFormat="false" ht="15" hidden="false" customHeight="false" outlineLevel="0" collapsed="false">
      <c r="B51" s="47" t="s">
        <v>158</v>
      </c>
      <c r="C51" s="48" t="s">
        <v>159</v>
      </c>
    </row>
    <row r="54" customFormat="false" ht="30" hidden="false" customHeight="true" outlineLevel="0" collapsed="false">
      <c r="B54" s="49" t="s">
        <v>160</v>
      </c>
      <c r="C54" s="50"/>
      <c r="D54" s="50"/>
    </row>
  </sheetData>
  <mergeCells count="10">
    <mergeCell ref="B3:F3"/>
    <mergeCell ref="B4:F4"/>
    <mergeCell ref="B17:F17"/>
    <mergeCell ref="B18:F18"/>
    <mergeCell ref="C42:D42"/>
    <mergeCell ref="C43:D43"/>
    <mergeCell ref="C44:D44"/>
    <mergeCell ref="C45:D45"/>
    <mergeCell ref="B48:C48"/>
    <mergeCell ref="C54:D54"/>
  </mergeCells>
  <conditionalFormatting sqref="F6:F14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20:F38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4" type="decimal">
      <formula1>0</formula1>
      <formula2>1</formula2>
    </dataValidation>
    <dataValidation allowBlank="false" errorStyle="stop" operator="between" showDropDown="false" showErrorMessage="false" showInputMessage="false" sqref="E6:E14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275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276</v>
      </c>
      <c r="D6" s="28" t="s">
        <v>277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278</v>
      </c>
      <c r="D7" s="28" t="s">
        <v>279</v>
      </c>
      <c r="E7" s="29" t="s">
        <v>123</v>
      </c>
      <c r="F7" s="30" t="n">
        <v>0</v>
      </c>
    </row>
    <row r="8" customFormat="false" ht="87" hidden="false" customHeight="true" outlineLevel="0" collapsed="false">
      <c r="B8" s="27" t="s">
        <v>166</v>
      </c>
      <c r="C8" s="28" t="s">
        <v>280</v>
      </c>
      <c r="D8" s="28" t="s">
        <v>281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282</v>
      </c>
      <c r="D9" s="28" t="s">
        <v>283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284</v>
      </c>
      <c r="D10" s="28" t="s">
        <v>285</v>
      </c>
      <c r="E10" s="29" t="s">
        <v>175</v>
      </c>
      <c r="F10" s="30" t="n">
        <v>0</v>
      </c>
    </row>
    <row r="11" customFormat="false" ht="42" hidden="false" customHeight="true" outlineLevel="0" collapsed="false">
      <c r="B11" s="27" t="s">
        <v>193</v>
      </c>
      <c r="C11" s="28" t="s">
        <v>286</v>
      </c>
      <c r="D11" s="28" t="s">
        <v>287</v>
      </c>
      <c r="E11" s="29" t="s">
        <v>123</v>
      </c>
      <c r="F11" s="30" t="n">
        <v>0</v>
      </c>
    </row>
    <row r="12" customFormat="false" ht="42" hidden="false" customHeight="true" outlineLevel="0" collapsed="false">
      <c r="B12" s="31" t="s">
        <v>196</v>
      </c>
      <c r="C12" s="32" t="s">
        <v>288</v>
      </c>
      <c r="D12" s="32" t="s">
        <v>289</v>
      </c>
      <c r="E12" s="33" t="s">
        <v>175</v>
      </c>
      <c r="F12" s="34" t="n">
        <v>0</v>
      </c>
    </row>
    <row r="15" customFormat="false" ht="48.75" hidden="false" customHeight="true" outlineLevel="0" collapsed="false">
      <c r="B15" s="35" t="s">
        <v>127</v>
      </c>
      <c r="C15" s="35"/>
      <c r="D15" s="35"/>
      <c r="E15" s="35"/>
      <c r="F15" s="35"/>
    </row>
    <row r="16" customFormat="false" ht="48" hidden="false" customHeight="true" outlineLevel="0" collapsed="false">
      <c r="B16" s="23" t="s">
        <v>290</v>
      </c>
      <c r="C16" s="23"/>
      <c r="D16" s="23"/>
      <c r="E16" s="23"/>
      <c r="F16" s="23"/>
    </row>
    <row r="17" customFormat="false" ht="22.5" hidden="false" customHeight="true" outlineLevel="0" collapsed="false">
      <c r="B17" s="24" t="s">
        <v>116</v>
      </c>
      <c r="C17" s="25" t="s">
        <v>129</v>
      </c>
      <c r="D17" s="25" t="s">
        <v>118</v>
      </c>
      <c r="E17" s="25" t="s">
        <v>119</v>
      </c>
      <c r="F17" s="26" t="s">
        <v>75</v>
      </c>
    </row>
    <row r="18" customFormat="false" ht="42" hidden="false" customHeight="true" outlineLevel="0" collapsed="false">
      <c r="B18" s="27" t="s">
        <v>130</v>
      </c>
      <c r="C18" s="28" t="str">
        <f aca="false">'RNF Accesibilidad'!C6</f>
        <v>Estándar de accesibilidad</v>
      </c>
      <c r="D18" s="28" t="str">
        <f aca="false">'RNF Accesibilidad'!D6</f>
        <v>Las interfaces cumplen las pautas WCAG 2.1 nivel AA.</v>
      </c>
      <c r="E18" s="29" t="str">
        <f aca="false">'RNF Accesibilidad'!E6</f>
        <v>Alta</v>
      </c>
      <c r="F18" s="30" t="n">
        <f aca="false">'RNF Accesibilidad'!F6</f>
        <v>0</v>
      </c>
    </row>
    <row r="19" customFormat="false" ht="72" hidden="false" customHeight="true" outlineLevel="0" collapsed="false">
      <c r="B19" s="27" t="s">
        <v>131</v>
      </c>
      <c r="C19" s="28" t="str">
        <f aca="false">'RNF Accesibilidad'!C7</f>
        <v>Lectores de pantalla</v>
      </c>
      <c r="D19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9" s="29" t="str">
        <f aca="false">'RNF Accesibilidad'!E7</f>
        <v>Alta</v>
      </c>
      <c r="F19" s="30" t="n">
        <f aca="false">'RNF Accesibilidad'!F7</f>
        <v>0</v>
      </c>
    </row>
    <row r="20" customFormat="false" ht="42" hidden="false" customHeight="true" outlineLevel="0" collapsed="false">
      <c r="B20" s="27" t="s">
        <v>132</v>
      </c>
      <c r="C20" s="28" t="str">
        <f aca="false">'RNF Accesibilidad'!C8</f>
        <v>Contraste</v>
      </c>
      <c r="D20" s="28" t="str">
        <f aca="false">'RNF Accesibilidad'!D8</f>
        <v>Contraste mínimo de 4.5:1 para texto normal y 3:1 para texto grande y componentes de interfaz.</v>
      </c>
      <c r="E20" s="29" t="str">
        <f aca="false">'RNF Accesibilidad'!E8</f>
        <v>Alta</v>
      </c>
      <c r="F20" s="30" t="n">
        <f aca="false">'RNF Accesibilidad'!F8</f>
        <v>0</v>
      </c>
    </row>
    <row r="21" customFormat="false" ht="57" hidden="false" customHeight="true" outlineLevel="0" collapsed="false">
      <c r="B21" s="27" t="s">
        <v>133</v>
      </c>
      <c r="C21" s="28" t="str">
        <f aca="false">'RNF Accesibilidad'!C9</f>
        <v>Texto escalable</v>
      </c>
      <c r="D21" s="28" t="str">
        <f aca="false">'RNF Accesibilidad'!D9</f>
        <v>La interfaz respeta el tamaño de fuente del sistema y admite hasta 200 % de ampliación sin pérdida de contenido ni funcionalidad.</v>
      </c>
      <c r="E21" s="29" t="str">
        <f aca="false">'RNF Accesibilidad'!E9</f>
        <v>Alta</v>
      </c>
      <c r="F21" s="30" t="n">
        <f aca="false">'RNF Accesibilidad'!F9</f>
        <v>0</v>
      </c>
    </row>
    <row r="22" customFormat="false" ht="42" hidden="false" customHeight="true" outlineLevel="0" collapsed="false">
      <c r="B22" s="27" t="s">
        <v>134</v>
      </c>
      <c r="C22" s="28" t="str">
        <f aca="false">'RNF Accesibilidad'!C10</f>
        <v>Áreas táctiles</v>
      </c>
      <c r="D22" s="28" t="str">
        <f aca="false">'RNF Accesibilidad'!D10</f>
        <v>Los componentes táctiles tienen un área mínima de 48 × 48 dp en Android y 44 × 44 pt en iOS.</v>
      </c>
      <c r="E22" s="29" t="str">
        <f aca="false">'RNF Accesibilidad'!E10</f>
        <v>Alta</v>
      </c>
      <c r="F22" s="30" t="n">
        <f aca="false">'RNF Accesibilidad'!F10</f>
        <v>0</v>
      </c>
    </row>
    <row r="23" customFormat="false" ht="42" hidden="false" customHeight="true" outlineLevel="0" collapsed="false">
      <c r="B23" s="27" t="s">
        <v>135</v>
      </c>
      <c r="C23" s="28" t="str">
        <f aca="false">'RNF Accesibilidad'!C11</f>
        <v>Información no dependiente del color</v>
      </c>
      <c r="D23" s="28" t="str">
        <f aca="false">'RNF Accesibilidad'!D11</f>
        <v>Estados, errores y porcentajes se comunican con texto o ícono además del color.</v>
      </c>
      <c r="E23" s="29" t="str">
        <f aca="false">'RNF Accesibilidad'!E11</f>
        <v>Alta</v>
      </c>
      <c r="F23" s="30" t="n">
        <f aca="false">'RNF Accesibilidad'!F11</f>
        <v>0</v>
      </c>
    </row>
    <row r="24" customFormat="false" ht="57" hidden="false" customHeight="true" outlineLevel="0" collapsed="false">
      <c r="B24" s="27" t="s">
        <v>136</v>
      </c>
      <c r="C24" s="28" t="str">
        <f aca="false">'RNF Accesibilidad'!C12</f>
        <v>Navegación por teclado</v>
      </c>
      <c r="D24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4" s="29" t="str">
        <f aca="false">'RNF Accesibilidad'!E12</f>
        <v>Alta</v>
      </c>
      <c r="F24" s="30" t="n">
        <f aca="false">'RNF Accesibilidad'!F12</f>
        <v>0</v>
      </c>
    </row>
    <row r="25" customFormat="false" ht="42" hidden="false" customHeight="true" outlineLevel="0" collapsed="false">
      <c r="B25" s="27" t="s">
        <v>137</v>
      </c>
      <c r="C25" s="28" t="str">
        <f aca="false">'RNF Accesibilidad'!C13</f>
        <v>Lenguaje claro</v>
      </c>
      <c r="D25" s="28" t="str">
        <f aca="false">'RNF Accesibilidad'!D13</f>
        <v>Textos en lenguaje claro y sin tecnicismos; los errores de formulario indican qué campo falla y cómo corregirlo.</v>
      </c>
      <c r="E25" s="29" t="str">
        <f aca="false">'RNF Accesibilidad'!E13</f>
        <v>Media</v>
      </c>
      <c r="F25" s="30" t="n">
        <f aca="false">'RNF Accesibilidad'!F13</f>
        <v>0</v>
      </c>
    </row>
    <row r="26" customFormat="false" ht="42" hidden="false" customHeight="true" outlineLevel="0" collapsed="false">
      <c r="B26" s="27" t="s">
        <v>138</v>
      </c>
      <c r="C26" s="28" t="str">
        <f aca="false">'RNF Accesibilidad'!C14</f>
        <v>Movimiento reducido</v>
      </c>
      <c r="D26" s="28" t="str">
        <f aca="false">'RNF Accesibilidad'!D14</f>
        <v>Se respeta la preferencia de «reducir movimiento» del sistema y no hay contenido parpadeante.</v>
      </c>
      <c r="E26" s="29" t="str">
        <f aca="false">'RNF Accesibilidad'!E14</f>
        <v>Baja</v>
      </c>
      <c r="F26" s="30" t="n">
        <f aca="false">'RNF Accesibilidad'!F14</f>
        <v>0</v>
      </c>
    </row>
    <row r="27" customFormat="false" ht="72" hidden="false" customHeight="true" outlineLevel="0" collapsed="false">
      <c r="B27" s="27" t="s">
        <v>200</v>
      </c>
      <c r="C27" s="28" t="str">
        <f aca="false">'RNF Privacidad'!C6</f>
        <v>Cumplimiento legal</v>
      </c>
      <c r="D27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27" s="29" t="str">
        <f aca="false">'RNF Privacidad'!E6</f>
        <v>Alta</v>
      </c>
      <c r="F27" s="30" t="n">
        <f aca="false">'RNF Privacidad'!F6</f>
        <v>0</v>
      </c>
    </row>
    <row r="28" customFormat="false" ht="42" hidden="false" customHeight="true" outlineLevel="0" collapsed="false">
      <c r="B28" s="27" t="s">
        <v>201</v>
      </c>
      <c r="C28" s="28" t="str">
        <f aca="false">'RNF Privacidad'!C7</f>
        <v>Minimización de datos</v>
      </c>
      <c r="D28" s="28" t="str">
        <f aca="false">'RNF Privacidad'!D7</f>
        <v>El sistema registra necesidades de ajuste y no diagnósticos, tipos de discapacidad ni documentos médicos.</v>
      </c>
      <c r="E28" s="29" t="str">
        <f aca="false">'RNF Privacidad'!E7</f>
        <v>Alta</v>
      </c>
      <c r="F28" s="30" t="n">
        <f aca="false">'RNF Privacidad'!F7</f>
        <v>0</v>
      </c>
    </row>
    <row r="29" customFormat="false" ht="57" hidden="false" customHeight="true" outlineLevel="0" collapsed="false">
      <c r="B29" s="27" t="s">
        <v>202</v>
      </c>
      <c r="C29" s="28" t="str">
        <f aca="false">'RNF Privacidad'!C8</f>
        <v>Control del candidato</v>
      </c>
      <c r="D29" s="28" t="str">
        <f aca="false">'RNF Privacidad'!D8</f>
        <v>Las necesidades de ajuste solo son visibles para el candidato y para las empresas a cuyas vacantes se postuló con consentimiento; el administrador solo ve datos agregados.</v>
      </c>
      <c r="E29" s="29" t="str">
        <f aca="false">'RNF Privacidad'!E8</f>
        <v>Alta</v>
      </c>
      <c r="F29" s="30" t="n">
        <f aca="false">'RNF Privacidad'!F8</f>
        <v>0</v>
      </c>
    </row>
    <row r="30" customFormat="false" ht="57" hidden="false" customHeight="true" outlineLevel="0" collapsed="false">
      <c r="B30" s="27" t="s">
        <v>203</v>
      </c>
      <c r="C30" s="28" t="str">
        <f aca="false">'RNF Privacidad'!C9</f>
        <v>Derechos ARCO</v>
      </c>
      <c r="D30" s="28" t="str">
        <f aca="false">'RNF Privacidad'!D9</f>
        <v>El candidato puede consultar, corregir y eliminar sus datos; la eliminación anonimiza sus postulaciones históricas en un plazo máximo de 30 días.</v>
      </c>
      <c r="E30" s="29" t="str">
        <f aca="false">'RNF Privacidad'!E9</f>
        <v>Alta</v>
      </c>
      <c r="F30" s="30" t="n">
        <f aca="false">'RNF Privacidad'!F9</f>
        <v>0</v>
      </c>
    </row>
    <row r="31" customFormat="false" ht="42" hidden="false" customHeight="true" outlineLevel="0" collapsed="false">
      <c r="B31" s="27" t="s">
        <v>204</v>
      </c>
      <c r="C31" s="28" t="str">
        <f aca="false">'RNF Privacidad'!C10</f>
        <v>Registros sin datos sensibles</v>
      </c>
      <c r="D31" s="28" t="str">
        <f aca="false">'RNF Privacidad'!D10</f>
        <v>Los logs del servidor y los mensajes push no incluyen necesidades de ajuste ni datos de contacto.</v>
      </c>
      <c r="E31" s="29" t="str">
        <f aca="false">'RNF Privacidad'!E10</f>
        <v>Alta</v>
      </c>
      <c r="F31" s="30" t="n">
        <f aca="false">'RNF Privacidad'!F10</f>
        <v>0</v>
      </c>
    </row>
    <row r="32" customFormat="false" ht="42" hidden="false" customHeight="true" outlineLevel="0" collapsed="false">
      <c r="B32" s="27" t="s">
        <v>139</v>
      </c>
      <c r="C32" s="28" t="str">
        <f aca="false">'RNF Operativas Móvil'!C6</f>
        <v>Desempeño</v>
      </c>
      <c r="D32" s="28" t="str">
        <f aca="false">'RNF Operativas Móvil'!D6</f>
        <v>Tiempo de respuesta de las pantallas ≤ 2 s en el percentil 95 sobre red 4G.</v>
      </c>
      <c r="E32" s="29" t="str">
        <f aca="false">'RNF Operativas Móvil'!E6</f>
        <v>Alta</v>
      </c>
      <c r="F32" s="30" t="n">
        <f aca="false">'RNF Operativas Móvil'!F6</f>
        <v>0</v>
      </c>
    </row>
    <row r="33" customFormat="false" ht="42" hidden="false" customHeight="true" outlineLevel="0" collapsed="false">
      <c r="B33" s="27" t="s">
        <v>140</v>
      </c>
      <c r="C33" s="28" t="str">
        <f aca="false">'RNF Operativas Móvil'!C7</f>
        <v>Compatibilidad</v>
      </c>
      <c r="D33" s="28" t="str">
        <f aca="false">'RNF Operativas Móvil'!D7</f>
        <v>Ejecutable en Android 8+ e iOS 15+ con un solo código base (React Native + Expo).</v>
      </c>
      <c r="E33" s="29" t="str">
        <f aca="false">'RNF Operativas Móvil'!E7</f>
        <v>Alta</v>
      </c>
      <c r="F33" s="30" t="n">
        <f aca="false">'RNF Operativas Móvil'!F7</f>
        <v>0</v>
      </c>
    </row>
    <row r="34" customFormat="false" ht="42" hidden="false" customHeight="true" outlineLevel="0" collapsed="false">
      <c r="B34" s="27" t="s">
        <v>141</v>
      </c>
      <c r="C34" s="28" t="str">
        <f aca="false">'RNF Operativas Móvil'!C8</f>
        <v>Retroalimentación</v>
      </c>
      <c r="D34" s="28" t="str">
        <f aca="false">'RNF Operativas Móvil'!D8</f>
        <v>Toda acción que tarde más de 300 ms muestra un indicador de carga anunciado al lector de pantalla.</v>
      </c>
      <c r="E34" s="29" t="str">
        <f aca="false">'RNF Operativas Móvil'!E8</f>
        <v>Media</v>
      </c>
      <c r="F34" s="30" t="n">
        <f aca="false">'RNF Operativas Móvil'!F8</f>
        <v>0</v>
      </c>
    </row>
    <row r="35" customFormat="false" ht="57" hidden="false" customHeight="true" outlineLevel="0" collapsed="false">
      <c r="B35" s="27" t="s">
        <v>142</v>
      </c>
      <c r="C35" s="28" t="str">
        <f aca="false">'RNF Operativas Móvil'!C9</f>
        <v>Tolerancia a fallas de red</v>
      </c>
      <c r="D35" s="28" t="str">
        <f aca="false">'RNF Operativas Móvil'!D9</f>
        <v>La app conserva en caché el último listado de vacantes y postulaciones y avisa cuando no hay conexión; los formularios no pierden lo capturado.</v>
      </c>
      <c r="E35" s="29" t="str">
        <f aca="false">'RNF Operativas Móvil'!E9</f>
        <v>Media</v>
      </c>
      <c r="F35" s="30" t="n">
        <f aca="false">'RNF Operativas Móvil'!F9</f>
        <v>0</v>
      </c>
    </row>
    <row r="36" customFormat="false" ht="30" hidden="false" customHeight="true" outlineLevel="0" collapsed="false">
      <c r="B36" s="31" t="s">
        <v>143</v>
      </c>
      <c r="C36" s="32" t="str">
        <f aca="false">'RNF Operativas Móvil'!C10</f>
        <v>Orientación</v>
      </c>
      <c r="D36" s="32" t="str">
        <f aca="false">'RNF Operativas Móvil'!D10</f>
        <v>Las pantallas funcionan en orientación vertical y horizontal.</v>
      </c>
      <c r="E36" s="33" t="str">
        <f aca="false">'RNF Operativas Móvil'!E10</f>
        <v>Baja</v>
      </c>
      <c r="F36" s="34" t="n">
        <f aca="false">'RNF Operativas Móvil'!F10</f>
        <v>0</v>
      </c>
    </row>
    <row r="37" customFormat="false" ht="15" hidden="false" customHeight="false" outlineLevel="0" collapsed="false">
      <c r="B37" s="36" t="s">
        <v>144</v>
      </c>
    </row>
    <row r="40" customFormat="false" ht="15" hidden="false" customHeight="true" outlineLevel="0" collapsed="false">
      <c r="B40" s="37" t="s">
        <v>145</v>
      </c>
      <c r="C40" s="38" t="s">
        <v>146</v>
      </c>
      <c r="D40" s="38"/>
    </row>
    <row r="41" customFormat="false" ht="15" hidden="false" customHeight="true" outlineLevel="0" collapsed="false">
      <c r="B41" s="39" t="s">
        <v>147</v>
      </c>
      <c r="C41" s="40" t="s">
        <v>148</v>
      </c>
      <c r="D41" s="40"/>
    </row>
    <row r="42" customFormat="false" ht="30" hidden="false" customHeight="true" outlineLevel="0" collapsed="false">
      <c r="B42" s="39" t="s">
        <v>149</v>
      </c>
      <c r="C42" s="40" t="s">
        <v>291</v>
      </c>
      <c r="D42" s="40"/>
    </row>
    <row r="43" customFormat="false" ht="15" hidden="false" customHeight="true" outlineLevel="0" collapsed="false">
      <c r="B43" s="41" t="s">
        <v>151</v>
      </c>
      <c r="C43" s="42" t="s">
        <v>152</v>
      </c>
      <c r="D43" s="42"/>
    </row>
    <row r="46" customFormat="false" ht="15" hidden="false" customHeight="false" outlineLevel="0" collapsed="false">
      <c r="B46" s="43" t="s">
        <v>153</v>
      </c>
      <c r="C46" s="43"/>
    </row>
    <row r="47" customFormat="false" ht="15" hidden="false" customHeight="false" outlineLevel="0" collapsed="false">
      <c r="B47" s="44" t="s">
        <v>154</v>
      </c>
      <c r="C47" s="45" t="s">
        <v>155</v>
      </c>
    </row>
    <row r="48" customFormat="false" ht="15" hidden="false" customHeight="false" outlineLevel="0" collapsed="false">
      <c r="B48" s="46" t="s">
        <v>156</v>
      </c>
      <c r="C48" s="45" t="s">
        <v>157</v>
      </c>
    </row>
    <row r="49" customFormat="false" ht="15" hidden="false" customHeight="false" outlineLevel="0" collapsed="false">
      <c r="B49" s="47" t="s">
        <v>158</v>
      </c>
      <c r="C49" s="48" t="s">
        <v>159</v>
      </c>
    </row>
    <row r="52" customFormat="false" ht="30" hidden="false" customHeight="true" outlineLevel="0" collapsed="false">
      <c r="B52" s="49" t="s">
        <v>160</v>
      </c>
      <c r="C52" s="50"/>
      <c r="D52" s="50"/>
    </row>
  </sheetData>
  <mergeCells count="10">
    <mergeCell ref="B3:F3"/>
    <mergeCell ref="B4:F4"/>
    <mergeCell ref="B15:F15"/>
    <mergeCell ref="B16:F16"/>
    <mergeCell ref="C40:D40"/>
    <mergeCell ref="C41:D41"/>
    <mergeCell ref="C42:D42"/>
    <mergeCell ref="C43:D43"/>
    <mergeCell ref="B46:C46"/>
    <mergeCell ref="C52:D52"/>
  </mergeCells>
  <conditionalFormatting sqref="F6:F12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8:F36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2" type="decimal">
      <formula1>0</formula1>
      <formula2>1</formula2>
    </dataValidation>
    <dataValidation allowBlank="false" errorStyle="stop" operator="between" showDropDown="false" showErrorMessage="false" showInputMessage="false" sqref="E6:E12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292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293</v>
      </c>
      <c r="D6" s="28" t="s">
        <v>294</v>
      </c>
      <c r="E6" s="29" t="s">
        <v>175</v>
      </c>
      <c r="F6" s="30" t="n">
        <v>0</v>
      </c>
    </row>
    <row r="7" customFormat="false" ht="72" hidden="false" customHeight="true" outlineLevel="0" collapsed="false">
      <c r="B7" s="27" t="s">
        <v>124</v>
      </c>
      <c r="C7" s="28" t="s">
        <v>295</v>
      </c>
      <c r="D7" s="28" t="s">
        <v>296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297</v>
      </c>
      <c r="D8" s="28" t="s">
        <v>298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299</v>
      </c>
      <c r="D9" s="28" t="s">
        <v>300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301</v>
      </c>
      <c r="D10" s="28" t="s">
        <v>302</v>
      </c>
      <c r="E10" s="29" t="s">
        <v>175</v>
      </c>
      <c r="F10" s="30" t="n">
        <v>0</v>
      </c>
    </row>
    <row r="11" customFormat="false" ht="42" hidden="false" customHeight="true" outlineLevel="0" collapsed="false">
      <c r="B11" s="31" t="s">
        <v>193</v>
      </c>
      <c r="C11" s="32" t="s">
        <v>303</v>
      </c>
      <c r="D11" s="32" t="s">
        <v>304</v>
      </c>
      <c r="E11" s="33" t="s">
        <v>215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305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72" hidden="false" customHeight="true" outlineLevel="0" collapsed="false">
      <c r="B26" s="27" t="s">
        <v>200</v>
      </c>
      <c r="C26" s="28" t="str">
        <f aca="false">'RNF Privacidad'!C6</f>
        <v>Cumplimiento legal</v>
      </c>
      <c r="D26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26" s="29" t="str">
        <f aca="false">'RNF Privacidad'!E6</f>
        <v>Alta</v>
      </c>
      <c r="F26" s="30" t="n">
        <f aca="false">'RNF Privacidad'!F6</f>
        <v>0</v>
      </c>
    </row>
    <row r="27" customFormat="false" ht="42" hidden="false" customHeight="true" outlineLevel="0" collapsed="false">
      <c r="B27" s="27" t="s">
        <v>201</v>
      </c>
      <c r="C27" s="28" t="str">
        <f aca="false">'RNF Privacidad'!C7</f>
        <v>Minimización de datos</v>
      </c>
      <c r="D27" s="28" t="str">
        <f aca="false">'RNF Privacidad'!D7</f>
        <v>El sistema registra necesidades de ajuste y no diagnósticos, tipos de discapacidad ni documentos médicos.</v>
      </c>
      <c r="E27" s="29" t="str">
        <f aca="false">'RNF Privacidad'!E7</f>
        <v>Alta</v>
      </c>
      <c r="F27" s="30" t="n">
        <f aca="false">'RNF Privacidad'!F7</f>
        <v>0</v>
      </c>
    </row>
    <row r="28" customFormat="false" ht="57" hidden="false" customHeight="true" outlineLevel="0" collapsed="false">
      <c r="B28" s="27" t="s">
        <v>202</v>
      </c>
      <c r="C28" s="28" t="str">
        <f aca="false">'RNF Privacidad'!C8</f>
        <v>Control del candidato</v>
      </c>
      <c r="D28" s="28" t="str">
        <f aca="false">'RNF Privacidad'!D8</f>
        <v>Las necesidades de ajuste solo son visibles para el candidato y para las empresas a cuyas vacantes se postuló con consentimiento; el administrador solo ve datos agregados.</v>
      </c>
      <c r="E28" s="29" t="str">
        <f aca="false">'RNF Privacidad'!E8</f>
        <v>Alta</v>
      </c>
      <c r="F28" s="30" t="n">
        <f aca="false">'RNF Privacidad'!F8</f>
        <v>0</v>
      </c>
    </row>
    <row r="29" customFormat="false" ht="57" hidden="false" customHeight="true" outlineLevel="0" collapsed="false">
      <c r="B29" s="27" t="s">
        <v>203</v>
      </c>
      <c r="C29" s="28" t="str">
        <f aca="false">'RNF Privacidad'!C9</f>
        <v>Derechos ARCO</v>
      </c>
      <c r="D29" s="28" t="str">
        <f aca="false">'RNF Privacidad'!D9</f>
        <v>El candidato puede consultar, corregir y eliminar sus datos; la eliminación anonimiza sus postulaciones históricas en un plazo máximo de 30 días.</v>
      </c>
      <c r="E29" s="29" t="str">
        <f aca="false">'RNF Privacidad'!E9</f>
        <v>Alta</v>
      </c>
      <c r="F29" s="30" t="n">
        <f aca="false">'RNF Privacidad'!F9</f>
        <v>0</v>
      </c>
    </row>
    <row r="30" customFormat="false" ht="42" hidden="false" customHeight="true" outlineLevel="0" collapsed="false">
      <c r="B30" s="27" t="s">
        <v>204</v>
      </c>
      <c r="C30" s="28" t="str">
        <f aca="false">'RNF Privacidad'!C10</f>
        <v>Registros sin datos sensibles</v>
      </c>
      <c r="D30" s="28" t="str">
        <f aca="false">'RNF Privacidad'!D10</f>
        <v>Los logs del servidor y los mensajes push no incluyen necesidades de ajuste ni datos de contacto.</v>
      </c>
      <c r="E30" s="29" t="str">
        <f aca="false">'RNF Privacidad'!E10</f>
        <v>Alta</v>
      </c>
      <c r="F30" s="30" t="n">
        <f aca="false">'RNF Privacidad'!F10</f>
        <v>0</v>
      </c>
    </row>
    <row r="31" customFormat="false" ht="42" hidden="false" customHeight="true" outlineLevel="0" collapsed="false">
      <c r="B31" s="27" t="s">
        <v>139</v>
      </c>
      <c r="C31" s="28" t="str">
        <f aca="false">'RNF Operativas Móvil'!C6</f>
        <v>Desempeño</v>
      </c>
      <c r="D31" s="28" t="str">
        <f aca="false">'RNF Operativas Móvil'!D6</f>
        <v>Tiempo de respuesta de las pantallas ≤ 2 s en el percentil 95 sobre red 4G.</v>
      </c>
      <c r="E31" s="29" t="str">
        <f aca="false">'RNF Operativas Móvil'!E6</f>
        <v>Alta</v>
      </c>
      <c r="F31" s="30" t="n">
        <f aca="false">'RNF Operativas Móvil'!F6</f>
        <v>0</v>
      </c>
    </row>
    <row r="32" customFormat="false" ht="42" hidden="false" customHeight="true" outlineLevel="0" collapsed="false">
      <c r="B32" s="27" t="s">
        <v>140</v>
      </c>
      <c r="C32" s="28" t="str">
        <f aca="false">'RNF Operativas Móvil'!C7</f>
        <v>Compatibilidad</v>
      </c>
      <c r="D32" s="28" t="str">
        <f aca="false">'RNF Operativas Móvil'!D7</f>
        <v>Ejecutable en Android 8+ e iOS 15+ con un solo código base (React Native + Expo).</v>
      </c>
      <c r="E32" s="29" t="str">
        <f aca="false">'RNF Operativas Móvil'!E7</f>
        <v>Alta</v>
      </c>
      <c r="F32" s="30" t="n">
        <f aca="false">'RNF Operativas Móvil'!F7</f>
        <v>0</v>
      </c>
    </row>
    <row r="33" customFormat="false" ht="42" hidden="false" customHeight="true" outlineLevel="0" collapsed="false">
      <c r="B33" s="27" t="s">
        <v>141</v>
      </c>
      <c r="C33" s="28" t="str">
        <f aca="false">'RNF Operativas Móvil'!C8</f>
        <v>Retroalimentación</v>
      </c>
      <c r="D33" s="28" t="str">
        <f aca="false">'RNF Operativas Móvil'!D8</f>
        <v>Toda acción que tarde más de 300 ms muestra un indicador de carga anunciado al lector de pantalla.</v>
      </c>
      <c r="E33" s="29" t="str">
        <f aca="false">'RNF Operativas Móvil'!E8</f>
        <v>Media</v>
      </c>
      <c r="F33" s="30" t="n">
        <f aca="false">'RNF Operativas Móvil'!F8</f>
        <v>0</v>
      </c>
    </row>
    <row r="34" customFormat="false" ht="57" hidden="false" customHeight="true" outlineLevel="0" collapsed="false">
      <c r="B34" s="27" t="s">
        <v>142</v>
      </c>
      <c r="C34" s="28" t="str">
        <f aca="false">'RNF Operativas Móvil'!C9</f>
        <v>Tolerancia a fallas de red</v>
      </c>
      <c r="D34" s="28" t="str">
        <f aca="false">'RNF Operativas Móvil'!D9</f>
        <v>La app conserva en caché el último listado de vacantes y postulaciones y avisa cuando no hay conexión; los formularios no pierden lo capturado.</v>
      </c>
      <c r="E34" s="29" t="str">
        <f aca="false">'RNF Operativas Móvil'!E9</f>
        <v>Media</v>
      </c>
      <c r="F34" s="30" t="n">
        <f aca="false">'RNF Operativas Móvil'!F9</f>
        <v>0</v>
      </c>
    </row>
    <row r="35" customFormat="false" ht="30" hidden="false" customHeight="true" outlineLevel="0" collapsed="false">
      <c r="B35" s="31" t="s">
        <v>143</v>
      </c>
      <c r="C35" s="32" t="str">
        <f aca="false">'RNF Operativas Móvil'!C10</f>
        <v>Orientación</v>
      </c>
      <c r="D35" s="32" t="str">
        <f aca="false">'RNF Operativas Móvil'!D10</f>
        <v>Las pantallas funcionan en orientación vertical y horizontal.</v>
      </c>
      <c r="E35" s="33" t="str">
        <f aca="false">'RNF Operativas Móvil'!E10</f>
        <v>Baja</v>
      </c>
      <c r="F35" s="34" t="n">
        <f aca="false">'RNF Operativas Móvil'!F10</f>
        <v>0</v>
      </c>
    </row>
    <row r="36" customFormat="false" ht="15" hidden="false" customHeight="false" outlineLevel="0" collapsed="false">
      <c r="B36" s="36" t="s">
        <v>144</v>
      </c>
    </row>
    <row r="39" customFormat="false" ht="15" hidden="false" customHeight="true" outlineLevel="0" collapsed="false">
      <c r="B39" s="37" t="s">
        <v>145</v>
      </c>
      <c r="C39" s="38" t="s">
        <v>146</v>
      </c>
      <c r="D39" s="38"/>
    </row>
    <row r="40" customFormat="false" ht="15" hidden="false" customHeight="true" outlineLevel="0" collapsed="false">
      <c r="B40" s="39" t="s">
        <v>147</v>
      </c>
      <c r="C40" s="40" t="s">
        <v>148</v>
      </c>
      <c r="D40" s="40"/>
    </row>
    <row r="41" customFormat="false" ht="15" hidden="false" customHeight="true" outlineLevel="0" collapsed="false">
      <c r="B41" s="39" t="s">
        <v>149</v>
      </c>
      <c r="C41" s="40" t="s">
        <v>306</v>
      </c>
      <c r="D41" s="40"/>
    </row>
    <row r="42" customFormat="false" ht="15" hidden="false" customHeight="true" outlineLevel="0" collapsed="false">
      <c r="B42" s="41" t="s">
        <v>151</v>
      </c>
      <c r="C42" s="42" t="s">
        <v>152</v>
      </c>
      <c r="D42" s="42"/>
    </row>
    <row r="45" customFormat="false" ht="15" hidden="false" customHeight="false" outlineLevel="0" collapsed="false">
      <c r="B45" s="43" t="s">
        <v>153</v>
      </c>
      <c r="C45" s="43"/>
    </row>
    <row r="46" customFormat="false" ht="15" hidden="false" customHeight="false" outlineLevel="0" collapsed="false">
      <c r="B46" s="44" t="s">
        <v>154</v>
      </c>
      <c r="C46" s="45" t="s">
        <v>155</v>
      </c>
    </row>
    <row r="47" customFormat="false" ht="15" hidden="false" customHeight="false" outlineLevel="0" collapsed="false">
      <c r="B47" s="46" t="s">
        <v>156</v>
      </c>
      <c r="C47" s="45" t="s">
        <v>157</v>
      </c>
    </row>
    <row r="48" customFormat="false" ht="15" hidden="false" customHeight="false" outlineLevel="0" collapsed="false">
      <c r="B48" s="47" t="s">
        <v>158</v>
      </c>
      <c r="C48" s="48" t="s">
        <v>159</v>
      </c>
    </row>
    <row r="51" customFormat="false" ht="30" hidden="false" customHeight="true" outlineLevel="0" collapsed="false">
      <c r="B51" s="49" t="s">
        <v>160</v>
      </c>
      <c r="C51" s="50"/>
      <c r="D51" s="50"/>
    </row>
  </sheetData>
  <mergeCells count="10">
    <mergeCell ref="B3:F3"/>
    <mergeCell ref="B4:F4"/>
    <mergeCell ref="B14:F14"/>
    <mergeCell ref="B15:F15"/>
    <mergeCell ref="C39:D39"/>
    <mergeCell ref="C40:D40"/>
    <mergeCell ref="C41:D41"/>
    <mergeCell ref="C42:D42"/>
    <mergeCell ref="B45:C45"/>
    <mergeCell ref="C51:D51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5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307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308</v>
      </c>
      <c r="D6" s="28" t="s">
        <v>309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310</v>
      </c>
      <c r="D7" s="28" t="s">
        <v>311</v>
      </c>
      <c r="E7" s="29" t="s">
        <v>175</v>
      </c>
      <c r="F7" s="30" t="n">
        <v>0</v>
      </c>
    </row>
    <row r="8" customFormat="false" ht="30" hidden="false" customHeight="true" outlineLevel="0" collapsed="false">
      <c r="B8" s="27" t="s">
        <v>166</v>
      </c>
      <c r="C8" s="28" t="s">
        <v>312</v>
      </c>
      <c r="D8" s="28" t="s">
        <v>313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314</v>
      </c>
      <c r="D9" s="28" t="s">
        <v>315</v>
      </c>
      <c r="E9" s="29" t="s">
        <v>175</v>
      </c>
      <c r="F9" s="30" t="n">
        <v>0</v>
      </c>
    </row>
    <row r="10" customFormat="false" ht="42" hidden="false" customHeight="true" outlineLevel="0" collapsed="false">
      <c r="B10" s="31" t="s">
        <v>172</v>
      </c>
      <c r="C10" s="32" t="s">
        <v>316</v>
      </c>
      <c r="D10" s="32" t="s">
        <v>317</v>
      </c>
      <c r="E10" s="33" t="s">
        <v>175</v>
      </c>
      <c r="F10" s="34" t="n">
        <v>0</v>
      </c>
    </row>
    <row r="13" customFormat="false" ht="48.75" hidden="false" customHeight="true" outlineLevel="0" collapsed="false">
      <c r="B13" s="35" t="s">
        <v>127</v>
      </c>
      <c r="C13" s="35"/>
      <c r="D13" s="35"/>
      <c r="E13" s="35"/>
      <c r="F13" s="35"/>
    </row>
    <row r="14" customFormat="false" ht="31.5" hidden="false" customHeight="true" outlineLevel="0" collapsed="false">
      <c r="B14" s="23" t="s">
        <v>318</v>
      </c>
      <c r="C14" s="23"/>
      <c r="D14" s="23"/>
      <c r="E14" s="23"/>
      <c r="F14" s="23"/>
    </row>
    <row r="15" customFormat="false" ht="22.5" hidden="false" customHeight="true" outlineLevel="0" collapsed="false">
      <c r="B15" s="24" t="s">
        <v>116</v>
      </c>
      <c r="C15" s="25" t="s">
        <v>129</v>
      </c>
      <c r="D15" s="25" t="s">
        <v>118</v>
      </c>
      <c r="E15" s="25" t="s">
        <v>119</v>
      </c>
      <c r="F15" s="26" t="s">
        <v>75</v>
      </c>
    </row>
    <row r="16" customFormat="false" ht="42" hidden="false" customHeight="true" outlineLevel="0" collapsed="false">
      <c r="B16" s="27" t="s">
        <v>130</v>
      </c>
      <c r="C16" s="28" t="str">
        <f aca="false">'RNF Accesibilidad'!C6</f>
        <v>Estándar de accesibilidad</v>
      </c>
      <c r="D16" s="28" t="str">
        <f aca="false">'RNF Accesibilidad'!D6</f>
        <v>Las interfaces cumplen las pautas WCAG 2.1 nivel AA.</v>
      </c>
      <c r="E16" s="29" t="str">
        <f aca="false">'RNF Accesibilidad'!E6</f>
        <v>Alta</v>
      </c>
      <c r="F16" s="30" t="n">
        <f aca="false">'RNF Accesibilidad'!F6</f>
        <v>0</v>
      </c>
    </row>
    <row r="17" customFormat="false" ht="72" hidden="false" customHeight="true" outlineLevel="0" collapsed="false">
      <c r="B17" s="27" t="s">
        <v>131</v>
      </c>
      <c r="C17" s="28" t="str">
        <f aca="false">'RNF Accesibilidad'!C7</f>
        <v>Lectores de pantalla</v>
      </c>
      <c r="D17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7" s="29" t="str">
        <f aca="false">'RNF Accesibilidad'!E7</f>
        <v>Alta</v>
      </c>
      <c r="F17" s="30" t="n">
        <f aca="false">'RNF Accesibilidad'!F7</f>
        <v>0</v>
      </c>
    </row>
    <row r="18" customFormat="false" ht="42" hidden="false" customHeight="true" outlineLevel="0" collapsed="false">
      <c r="B18" s="27" t="s">
        <v>132</v>
      </c>
      <c r="C18" s="28" t="str">
        <f aca="false">'RNF Accesibilidad'!C8</f>
        <v>Contraste</v>
      </c>
      <c r="D18" s="28" t="str">
        <f aca="false">'RNF Accesibilidad'!D8</f>
        <v>Contraste mínimo de 4.5:1 para texto normal y 3:1 para texto grande y componentes de interfaz.</v>
      </c>
      <c r="E18" s="29" t="str">
        <f aca="false">'RNF Accesibilidad'!E8</f>
        <v>Alta</v>
      </c>
      <c r="F18" s="30" t="n">
        <f aca="false">'RNF Accesibilidad'!F8</f>
        <v>0</v>
      </c>
    </row>
    <row r="19" customFormat="false" ht="57" hidden="false" customHeight="true" outlineLevel="0" collapsed="false">
      <c r="B19" s="27" t="s">
        <v>133</v>
      </c>
      <c r="C19" s="28" t="str">
        <f aca="false">'RNF Accesibilidad'!C9</f>
        <v>Texto escalable</v>
      </c>
      <c r="D19" s="28" t="str">
        <f aca="false">'RNF Accesibilidad'!D9</f>
        <v>La interfaz respeta el tamaño de fuente del sistema y admite hasta 200 % de ampliación sin pérdida de contenido ni funcionalidad.</v>
      </c>
      <c r="E19" s="29" t="str">
        <f aca="false">'RNF Accesibilidad'!E9</f>
        <v>Alta</v>
      </c>
      <c r="F19" s="30" t="n">
        <f aca="false">'RNF Accesibilidad'!F9</f>
        <v>0</v>
      </c>
    </row>
    <row r="20" customFormat="false" ht="42" hidden="false" customHeight="true" outlineLevel="0" collapsed="false">
      <c r="B20" s="27" t="s">
        <v>134</v>
      </c>
      <c r="C20" s="28" t="str">
        <f aca="false">'RNF Accesibilidad'!C10</f>
        <v>Áreas táctiles</v>
      </c>
      <c r="D20" s="28" t="str">
        <f aca="false">'RNF Accesibilidad'!D10</f>
        <v>Los componentes táctiles tienen un área mínima de 48 × 48 dp en Android y 44 × 44 pt en iOS.</v>
      </c>
      <c r="E20" s="29" t="str">
        <f aca="false">'RNF Accesibilidad'!E10</f>
        <v>Alta</v>
      </c>
      <c r="F20" s="30" t="n">
        <f aca="false">'RNF Accesibilidad'!F10</f>
        <v>0</v>
      </c>
    </row>
    <row r="21" customFormat="false" ht="42" hidden="false" customHeight="true" outlineLevel="0" collapsed="false">
      <c r="B21" s="27" t="s">
        <v>135</v>
      </c>
      <c r="C21" s="28" t="str">
        <f aca="false">'RNF Accesibilidad'!C11</f>
        <v>Información no dependiente del color</v>
      </c>
      <c r="D21" s="28" t="str">
        <f aca="false">'RNF Accesibilidad'!D11</f>
        <v>Estados, errores y porcentajes se comunican con texto o ícono además del color.</v>
      </c>
      <c r="E21" s="29" t="str">
        <f aca="false">'RNF Accesibilidad'!E11</f>
        <v>Alta</v>
      </c>
      <c r="F21" s="30" t="n">
        <f aca="false">'RNF Accesibilidad'!F11</f>
        <v>0</v>
      </c>
    </row>
    <row r="22" customFormat="false" ht="57" hidden="false" customHeight="true" outlineLevel="0" collapsed="false">
      <c r="B22" s="27" t="s">
        <v>136</v>
      </c>
      <c r="C22" s="28" t="str">
        <f aca="false">'RNF Accesibilidad'!C12</f>
        <v>Navegación por teclado</v>
      </c>
      <c r="D22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2" s="29" t="str">
        <f aca="false">'RNF Accesibilidad'!E12</f>
        <v>Alta</v>
      </c>
      <c r="F22" s="30" t="n">
        <f aca="false">'RNF Accesibilidad'!F12</f>
        <v>0</v>
      </c>
    </row>
    <row r="23" customFormat="false" ht="42" hidden="false" customHeight="true" outlineLevel="0" collapsed="false">
      <c r="B23" s="27" t="s">
        <v>137</v>
      </c>
      <c r="C23" s="28" t="str">
        <f aca="false">'RNF Accesibilidad'!C13</f>
        <v>Lenguaje claro</v>
      </c>
      <c r="D23" s="28" t="str">
        <f aca="false">'RNF Accesibilidad'!D13</f>
        <v>Textos en lenguaje claro y sin tecnicismos; los errores de formulario indican qué campo falla y cómo corregirlo.</v>
      </c>
      <c r="E23" s="29" t="str">
        <f aca="false">'RNF Accesibilidad'!E13</f>
        <v>Media</v>
      </c>
      <c r="F23" s="30" t="n">
        <f aca="false">'RNF Accesibilidad'!F13</f>
        <v>0</v>
      </c>
    </row>
    <row r="24" customFormat="false" ht="42" hidden="false" customHeight="true" outlineLevel="0" collapsed="false">
      <c r="B24" s="27" t="s">
        <v>138</v>
      </c>
      <c r="C24" s="28" t="str">
        <f aca="false">'RNF Accesibilidad'!C14</f>
        <v>Movimiento reducido</v>
      </c>
      <c r="D24" s="28" t="str">
        <f aca="false">'RNF Accesibilidad'!D14</f>
        <v>Se respeta la preferencia de «reducir movimiento» del sistema y no hay contenido parpadeante.</v>
      </c>
      <c r="E24" s="29" t="str">
        <f aca="false">'RNF Accesibilidad'!E14</f>
        <v>Baja</v>
      </c>
      <c r="F24" s="30" t="n">
        <f aca="false">'RNF Accesibilidad'!F14</f>
        <v>0</v>
      </c>
    </row>
    <row r="25" customFormat="false" ht="42" hidden="false" customHeight="true" outlineLevel="0" collapsed="false">
      <c r="B25" s="27" t="s">
        <v>139</v>
      </c>
      <c r="C25" s="28" t="str">
        <f aca="false">'RNF Operativas Móvil'!C6</f>
        <v>Desempeño</v>
      </c>
      <c r="D25" s="28" t="str">
        <f aca="false">'RNF Operativas Móvil'!D6</f>
        <v>Tiempo de respuesta de las pantallas ≤ 2 s en el percentil 95 sobre red 4G.</v>
      </c>
      <c r="E25" s="29" t="str">
        <f aca="false">'RNF Operativas Móvil'!E6</f>
        <v>Alta</v>
      </c>
      <c r="F25" s="30" t="n">
        <f aca="false">'RNF Operativas Móvil'!F6</f>
        <v>0</v>
      </c>
    </row>
    <row r="26" customFormat="false" ht="42" hidden="false" customHeight="true" outlineLevel="0" collapsed="false">
      <c r="B26" s="27" t="s">
        <v>140</v>
      </c>
      <c r="C26" s="28" t="str">
        <f aca="false">'RNF Operativas Móvil'!C7</f>
        <v>Compatibilidad</v>
      </c>
      <c r="D26" s="28" t="str">
        <f aca="false">'RNF Operativas Móvil'!D7</f>
        <v>Ejecutable en Android 8+ e iOS 15+ con un solo código base (React Native + Expo).</v>
      </c>
      <c r="E26" s="29" t="str">
        <f aca="false">'RNF Operativas Móvil'!E7</f>
        <v>Alta</v>
      </c>
      <c r="F26" s="30" t="n">
        <f aca="false">'RNF Operativas Móvil'!F7</f>
        <v>0</v>
      </c>
    </row>
    <row r="27" customFormat="false" ht="42" hidden="false" customHeight="true" outlineLevel="0" collapsed="false">
      <c r="B27" s="27" t="s">
        <v>141</v>
      </c>
      <c r="C27" s="28" t="str">
        <f aca="false">'RNF Operativas Móvil'!C8</f>
        <v>Retroalimentación</v>
      </c>
      <c r="D27" s="28" t="str">
        <f aca="false">'RNF Operativas Móvil'!D8</f>
        <v>Toda acción que tarde más de 300 ms muestra un indicador de carga anunciado al lector de pantalla.</v>
      </c>
      <c r="E27" s="29" t="str">
        <f aca="false">'RNF Operativas Móvil'!E8</f>
        <v>Media</v>
      </c>
      <c r="F27" s="30" t="n">
        <f aca="false">'RNF Operativas Móvil'!F8</f>
        <v>0</v>
      </c>
    </row>
    <row r="28" customFormat="false" ht="57" hidden="false" customHeight="true" outlineLevel="0" collapsed="false">
      <c r="B28" s="27" t="s">
        <v>142</v>
      </c>
      <c r="C28" s="28" t="str">
        <f aca="false">'RNF Operativas Móvil'!C9</f>
        <v>Tolerancia a fallas de red</v>
      </c>
      <c r="D28" s="28" t="str">
        <f aca="false">'RNF Operativas Móvil'!D9</f>
        <v>La app conserva en caché el último listado de vacantes y postulaciones y avisa cuando no hay conexión; los formularios no pierden lo capturado.</v>
      </c>
      <c r="E28" s="29" t="str">
        <f aca="false">'RNF Operativas Móvil'!E9</f>
        <v>Media</v>
      </c>
      <c r="F28" s="30" t="n">
        <f aca="false">'RNF Operativas Móvil'!F9</f>
        <v>0</v>
      </c>
    </row>
    <row r="29" customFormat="false" ht="30" hidden="false" customHeight="true" outlineLevel="0" collapsed="false">
      <c r="B29" s="31" t="s">
        <v>143</v>
      </c>
      <c r="C29" s="32" t="str">
        <f aca="false">'RNF Operativas Móvil'!C10</f>
        <v>Orientación</v>
      </c>
      <c r="D29" s="32" t="str">
        <f aca="false">'RNF Operativas Móvil'!D10</f>
        <v>Las pantallas funcionan en orientación vertical y horizontal.</v>
      </c>
      <c r="E29" s="33" t="str">
        <f aca="false">'RNF Operativas Móvil'!E10</f>
        <v>Baja</v>
      </c>
      <c r="F29" s="34" t="n">
        <f aca="false">'RNF Operativas Móvil'!F10</f>
        <v>0</v>
      </c>
    </row>
    <row r="30" customFormat="false" ht="15" hidden="false" customHeight="false" outlineLevel="0" collapsed="false">
      <c r="B30" s="36" t="s">
        <v>144</v>
      </c>
    </row>
    <row r="33" customFormat="false" ht="15" hidden="false" customHeight="true" outlineLevel="0" collapsed="false">
      <c r="B33" s="37" t="s">
        <v>145</v>
      </c>
      <c r="C33" s="38" t="s">
        <v>146</v>
      </c>
      <c r="D33" s="38"/>
    </row>
    <row r="34" customFormat="false" ht="15" hidden="false" customHeight="true" outlineLevel="0" collapsed="false">
      <c r="B34" s="39" t="s">
        <v>147</v>
      </c>
      <c r="C34" s="40" t="s">
        <v>148</v>
      </c>
      <c r="D34" s="40"/>
    </row>
    <row r="35" customFormat="false" ht="15" hidden="false" customHeight="true" outlineLevel="0" collapsed="false">
      <c r="B35" s="39" t="s">
        <v>149</v>
      </c>
      <c r="C35" s="40" t="s">
        <v>150</v>
      </c>
      <c r="D35" s="40"/>
    </row>
    <row r="36" customFormat="false" ht="15" hidden="false" customHeight="true" outlineLevel="0" collapsed="false">
      <c r="B36" s="41" t="s">
        <v>151</v>
      </c>
      <c r="C36" s="42" t="s">
        <v>152</v>
      </c>
      <c r="D36" s="42"/>
    </row>
    <row r="39" customFormat="false" ht="15" hidden="false" customHeight="false" outlineLevel="0" collapsed="false">
      <c r="B39" s="43" t="s">
        <v>153</v>
      </c>
      <c r="C39" s="43"/>
    </row>
    <row r="40" customFormat="false" ht="15" hidden="false" customHeight="false" outlineLevel="0" collapsed="false">
      <c r="B40" s="44" t="s">
        <v>154</v>
      </c>
      <c r="C40" s="45" t="s">
        <v>155</v>
      </c>
    </row>
    <row r="41" customFormat="false" ht="15" hidden="false" customHeight="false" outlineLevel="0" collapsed="false">
      <c r="B41" s="46" t="s">
        <v>156</v>
      </c>
      <c r="C41" s="45" t="s">
        <v>157</v>
      </c>
    </row>
    <row r="42" customFormat="false" ht="15" hidden="false" customHeight="false" outlineLevel="0" collapsed="false">
      <c r="B42" s="47" t="s">
        <v>158</v>
      </c>
      <c r="C42" s="48" t="s">
        <v>159</v>
      </c>
    </row>
    <row r="45" customFormat="false" ht="30" hidden="false" customHeight="true" outlineLevel="0" collapsed="false">
      <c r="B45" s="49" t="s">
        <v>160</v>
      </c>
      <c r="C45" s="50"/>
      <c r="D45" s="50"/>
    </row>
  </sheetData>
  <mergeCells count="10">
    <mergeCell ref="B3:F3"/>
    <mergeCell ref="B4:F4"/>
    <mergeCell ref="B13:F13"/>
    <mergeCell ref="B14:F14"/>
    <mergeCell ref="C33:D33"/>
    <mergeCell ref="C34:D34"/>
    <mergeCell ref="C35:D35"/>
    <mergeCell ref="C36:D36"/>
    <mergeCell ref="B39:C39"/>
    <mergeCell ref="C45:D4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6:F29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319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320</v>
      </c>
      <c r="D6" s="28" t="s">
        <v>321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322</v>
      </c>
      <c r="D7" s="28" t="s">
        <v>323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324</v>
      </c>
      <c r="D8" s="28" t="s">
        <v>325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326</v>
      </c>
      <c r="D9" s="28" t="s">
        <v>327</v>
      </c>
      <c r="E9" s="29" t="s">
        <v>123</v>
      </c>
      <c r="F9" s="30" t="n">
        <v>0</v>
      </c>
    </row>
    <row r="10" customFormat="false" ht="57" hidden="false" customHeight="true" outlineLevel="0" collapsed="false">
      <c r="B10" s="27" t="s">
        <v>172</v>
      </c>
      <c r="C10" s="28" t="s">
        <v>328</v>
      </c>
      <c r="D10" s="28" t="s">
        <v>329</v>
      </c>
      <c r="E10" s="29" t="s">
        <v>175</v>
      </c>
      <c r="F10" s="30" t="n">
        <v>0</v>
      </c>
    </row>
    <row r="11" customFormat="false" ht="42" hidden="false" customHeight="true" outlineLevel="0" collapsed="false">
      <c r="B11" s="31" t="s">
        <v>193</v>
      </c>
      <c r="C11" s="32" t="s">
        <v>330</v>
      </c>
      <c r="D11" s="32" t="s">
        <v>331</v>
      </c>
      <c r="E11" s="33" t="s">
        <v>175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332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139</v>
      </c>
      <c r="C26" s="28" t="str">
        <f aca="false">'RNF Operativas Móvil'!C6</f>
        <v>Desempeño</v>
      </c>
      <c r="D26" s="28" t="str">
        <f aca="false">'RNF Operativas Móvil'!D6</f>
        <v>Tiempo de respuesta de las pantallas ≤ 2 s en el percentil 95 sobre red 4G.</v>
      </c>
      <c r="E26" s="29" t="str">
        <f aca="false">'RNF Operativas Móvil'!E6</f>
        <v>Alta</v>
      </c>
      <c r="F26" s="30" t="n">
        <f aca="false">'RNF Operativas Móvil'!F6</f>
        <v>0</v>
      </c>
    </row>
    <row r="27" customFormat="false" ht="42" hidden="false" customHeight="true" outlineLevel="0" collapsed="false">
      <c r="B27" s="27" t="s">
        <v>140</v>
      </c>
      <c r="C27" s="28" t="str">
        <f aca="false">'RNF Operativas Móvil'!C7</f>
        <v>Compatibilidad</v>
      </c>
      <c r="D27" s="28" t="str">
        <f aca="false">'RNF Operativas Móvil'!D7</f>
        <v>Ejecutable en Android 8+ e iOS 15+ con un solo código base (React Native + Expo).</v>
      </c>
      <c r="E27" s="29" t="str">
        <f aca="false">'RNF Operativas Móvil'!E7</f>
        <v>Alta</v>
      </c>
      <c r="F27" s="30" t="n">
        <f aca="false">'RNF Operativas Móvil'!F7</f>
        <v>0</v>
      </c>
    </row>
    <row r="28" customFormat="false" ht="42" hidden="false" customHeight="true" outlineLevel="0" collapsed="false">
      <c r="B28" s="27" t="s">
        <v>141</v>
      </c>
      <c r="C28" s="28" t="str">
        <f aca="false">'RNF Operativas Móvil'!C8</f>
        <v>Retroalimentación</v>
      </c>
      <c r="D28" s="28" t="str">
        <f aca="false">'RNF Operativas Móvil'!D8</f>
        <v>Toda acción que tarde más de 300 ms muestra un indicador de carga anunciado al lector de pantalla.</v>
      </c>
      <c r="E28" s="29" t="str">
        <f aca="false">'RNF Operativas Móvil'!E8</f>
        <v>Media</v>
      </c>
      <c r="F28" s="30" t="n">
        <f aca="false">'RNF Operativas Móvil'!F8</f>
        <v>0</v>
      </c>
    </row>
    <row r="29" customFormat="false" ht="57" hidden="false" customHeight="true" outlineLevel="0" collapsed="false">
      <c r="B29" s="27" t="s">
        <v>142</v>
      </c>
      <c r="C29" s="28" t="str">
        <f aca="false">'RNF Operativas Móvil'!C9</f>
        <v>Tolerancia a fallas de red</v>
      </c>
      <c r="D29" s="28" t="str">
        <f aca="false">'RNF Operativas Móvil'!D9</f>
        <v>La app conserva en caché el último listado de vacantes y postulaciones y avisa cuando no hay conexión; los formularios no pierden lo capturado.</v>
      </c>
      <c r="E29" s="29" t="str">
        <f aca="false">'RNF Operativas Móvil'!E9</f>
        <v>Media</v>
      </c>
      <c r="F29" s="30" t="n">
        <f aca="false">'RNF Operativas Móvil'!F9</f>
        <v>0</v>
      </c>
    </row>
    <row r="30" customFormat="false" ht="30" hidden="false" customHeight="true" outlineLevel="0" collapsed="false">
      <c r="B30" s="27" t="s">
        <v>143</v>
      </c>
      <c r="C30" s="28" t="str">
        <f aca="false">'RNF Operativas Móvil'!C10</f>
        <v>Orientación</v>
      </c>
      <c r="D30" s="28" t="str">
        <f aca="false">'RNF Operativas Móvil'!D10</f>
        <v>Las pantallas funcionan en orientación vertical y horizontal.</v>
      </c>
      <c r="E30" s="29" t="str">
        <f aca="false">'RNF Operativas Móvil'!E10</f>
        <v>Baja</v>
      </c>
      <c r="F30" s="30" t="n">
        <f aca="false">'RNF Operativas Móvil'!F10</f>
        <v>0</v>
      </c>
    </row>
    <row r="31" customFormat="false" ht="42" hidden="false" customHeight="true" outlineLevel="0" collapsed="false">
      <c r="B31" s="27" t="s">
        <v>232</v>
      </c>
      <c r="C31" s="28" t="str">
        <f aca="false">'RNF Notificaciones'!C6</f>
        <v>Tiempo de entrega</v>
      </c>
      <c r="D31" s="28" t="str">
        <f aca="false">'RNF Notificaciones'!D6</f>
        <v>Las notificaciones push se envían en ≤ 1 min y los correos en ≤ 5 min tras el evento.</v>
      </c>
      <c r="E31" s="29" t="str">
        <f aca="false">'RNF Notificaciones'!E6</f>
        <v>Media</v>
      </c>
      <c r="F31" s="30" t="n">
        <f aca="false">'RNF Notificaciones'!F6</f>
        <v>0</v>
      </c>
    </row>
    <row r="32" customFormat="false" ht="42" hidden="false" customHeight="true" outlineLevel="0" collapsed="false">
      <c r="B32" s="27" t="s">
        <v>233</v>
      </c>
      <c r="C32" s="28" t="str">
        <f aca="false">'RNF Notificaciones'!C7</f>
        <v>Confiabilidad</v>
      </c>
      <c r="D32" s="28" t="str">
        <f aca="false">'RNF Notificaciones'!D7</f>
        <v>Los envíos fallidos se reintentan hasta 3 veces; el fallo de un canal no bloquea la operación que lo generó.</v>
      </c>
      <c r="E32" s="29" t="str">
        <f aca="false">'RNF Notificaciones'!E7</f>
        <v>Alta</v>
      </c>
      <c r="F32" s="30" t="n">
        <f aca="false">'RNF Notificaciones'!F7</f>
        <v>0</v>
      </c>
    </row>
    <row r="33" customFormat="false" ht="42" hidden="false" customHeight="true" outlineLevel="0" collapsed="false">
      <c r="B33" s="27" t="s">
        <v>234</v>
      </c>
      <c r="C33" s="28" t="str">
        <f aca="false">'RNF Notificaciones'!C8</f>
        <v>Correos accesibles</v>
      </c>
      <c r="D33" s="28" t="str">
        <f aca="false">'RNF Notificaciones'!D8</f>
        <v>Los correos incluyen versión en texto plano, estructura semántica y enlaces descriptivos.</v>
      </c>
      <c r="E33" s="29" t="str">
        <f aca="false">'RNF Notificaciones'!E8</f>
        <v>Media</v>
      </c>
      <c r="F33" s="30" t="n">
        <f aca="false">'RNF Notificaciones'!F8</f>
        <v>0</v>
      </c>
    </row>
    <row r="34" customFormat="false" ht="42" hidden="false" customHeight="true" outlineLevel="0" collapsed="false">
      <c r="B34" s="31" t="s">
        <v>235</v>
      </c>
      <c r="C34" s="32" t="str">
        <f aca="false">'RNF Notificaciones'!C9</f>
        <v>Contenido mínimo</v>
      </c>
      <c r="D34" s="32" t="str">
        <f aca="false">'RNF Notificaciones'!D9</f>
        <v>Las notificaciones push no incluyen datos personales sensibles; el detalle se consulta dentro de la app.</v>
      </c>
      <c r="E34" s="33" t="str">
        <f aca="false">'RNF Notificaciones'!E9</f>
        <v>Alta</v>
      </c>
      <c r="F34" s="34" t="n">
        <f aca="false">'RNF Notificaciones'!F9</f>
        <v>0</v>
      </c>
    </row>
    <row r="35" customFormat="false" ht="15" hidden="false" customHeight="false" outlineLevel="0" collapsed="false">
      <c r="B35" s="36" t="s">
        <v>144</v>
      </c>
    </row>
    <row r="38" customFormat="false" ht="15" hidden="false" customHeight="true" outlineLevel="0" collapsed="false">
      <c r="B38" s="37" t="s">
        <v>145</v>
      </c>
      <c r="C38" s="38" t="s">
        <v>146</v>
      </c>
      <c r="D38" s="38"/>
    </row>
    <row r="39" customFormat="false" ht="15" hidden="false" customHeight="true" outlineLevel="0" collapsed="false">
      <c r="B39" s="39" t="s">
        <v>147</v>
      </c>
      <c r="C39" s="40" t="s">
        <v>148</v>
      </c>
      <c r="D39" s="40"/>
    </row>
    <row r="40" customFormat="false" ht="30" hidden="false" customHeight="true" outlineLevel="0" collapsed="false">
      <c r="B40" s="39" t="s">
        <v>149</v>
      </c>
      <c r="C40" s="40" t="s">
        <v>333</v>
      </c>
      <c r="D40" s="40"/>
    </row>
    <row r="41" customFormat="false" ht="15" hidden="false" customHeight="true" outlineLevel="0" collapsed="false">
      <c r="B41" s="41" t="s">
        <v>151</v>
      </c>
      <c r="C41" s="42" t="s">
        <v>152</v>
      </c>
      <c r="D41" s="42"/>
    </row>
    <row r="44" customFormat="false" ht="15" hidden="false" customHeight="false" outlineLevel="0" collapsed="false">
      <c r="B44" s="43" t="s">
        <v>153</v>
      </c>
      <c r="C44" s="43"/>
    </row>
    <row r="45" customFormat="false" ht="15" hidden="false" customHeight="false" outlineLevel="0" collapsed="false">
      <c r="B45" s="44" t="s">
        <v>154</v>
      </c>
      <c r="C45" s="45" t="s">
        <v>155</v>
      </c>
    </row>
    <row r="46" customFormat="false" ht="15" hidden="false" customHeight="false" outlineLevel="0" collapsed="false">
      <c r="B46" s="46" t="s">
        <v>156</v>
      </c>
      <c r="C46" s="45" t="s">
        <v>157</v>
      </c>
    </row>
    <row r="47" customFormat="false" ht="15" hidden="false" customHeight="false" outlineLevel="0" collapsed="false">
      <c r="B47" s="47" t="s">
        <v>158</v>
      </c>
      <c r="C47" s="48" t="s">
        <v>159</v>
      </c>
    </row>
    <row r="50" customFormat="false" ht="30" hidden="false" customHeight="true" outlineLevel="0" collapsed="false">
      <c r="B50" s="49" t="s">
        <v>160</v>
      </c>
      <c r="C50" s="50"/>
      <c r="D50" s="50"/>
    </row>
  </sheetData>
  <mergeCells count="10">
    <mergeCell ref="B3:F3"/>
    <mergeCell ref="B4:F4"/>
    <mergeCell ref="B14:F14"/>
    <mergeCell ref="B15:F15"/>
    <mergeCell ref="C38:D38"/>
    <mergeCell ref="C39:D39"/>
    <mergeCell ref="C40:D40"/>
    <mergeCell ref="C41:D41"/>
    <mergeCell ref="B44:C44"/>
    <mergeCell ref="C50:D50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4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334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335</v>
      </c>
      <c r="D6" s="28" t="s">
        <v>336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337</v>
      </c>
      <c r="D7" s="28" t="s">
        <v>338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339</v>
      </c>
      <c r="D8" s="28" t="s">
        <v>340</v>
      </c>
      <c r="E8" s="29" t="s">
        <v>175</v>
      </c>
      <c r="F8" s="30" t="n">
        <v>0</v>
      </c>
    </row>
    <row r="9" customFormat="false" ht="42" hidden="false" customHeight="true" outlineLevel="0" collapsed="false">
      <c r="B9" s="31" t="s">
        <v>169</v>
      </c>
      <c r="C9" s="32" t="s">
        <v>341</v>
      </c>
      <c r="D9" s="32" t="s">
        <v>342</v>
      </c>
      <c r="E9" s="33" t="s">
        <v>175</v>
      </c>
      <c r="F9" s="34" t="n">
        <v>0</v>
      </c>
    </row>
    <row r="12" customFormat="false" ht="48.75" hidden="false" customHeight="true" outlineLevel="0" collapsed="false">
      <c r="B12" s="35" t="s">
        <v>127</v>
      </c>
      <c r="C12" s="35"/>
      <c r="D12" s="35"/>
      <c r="E12" s="35"/>
      <c r="F12" s="35"/>
    </row>
    <row r="13" customFormat="false" ht="31.5" hidden="false" customHeight="true" outlineLevel="0" collapsed="false">
      <c r="B13" s="23" t="s">
        <v>343</v>
      </c>
      <c r="C13" s="23"/>
      <c r="D13" s="23"/>
      <c r="E13" s="23"/>
      <c r="F13" s="23"/>
    </row>
    <row r="14" customFormat="false" ht="22.5" hidden="false" customHeight="true" outlineLevel="0" collapsed="false">
      <c r="B14" s="24" t="s">
        <v>116</v>
      </c>
      <c r="C14" s="25" t="s">
        <v>129</v>
      </c>
      <c r="D14" s="25" t="s">
        <v>118</v>
      </c>
      <c r="E14" s="25" t="s">
        <v>119</v>
      </c>
      <c r="F14" s="26" t="s">
        <v>75</v>
      </c>
    </row>
    <row r="15" customFormat="false" ht="42" hidden="false" customHeight="true" outlineLevel="0" collapsed="false">
      <c r="B15" s="27" t="s">
        <v>130</v>
      </c>
      <c r="C15" s="28" t="str">
        <f aca="false">'RNF Accesibilidad'!C6</f>
        <v>Estándar de accesibilidad</v>
      </c>
      <c r="D15" s="28" t="str">
        <f aca="false">'RNF Accesibilidad'!D6</f>
        <v>Las interfaces cumplen las pautas WCAG 2.1 nivel AA.</v>
      </c>
      <c r="E15" s="29" t="str">
        <f aca="false">'RNF Accesibilidad'!E6</f>
        <v>Alta</v>
      </c>
      <c r="F15" s="30" t="n">
        <f aca="false">'RNF Accesibilidad'!F6</f>
        <v>0</v>
      </c>
    </row>
    <row r="16" customFormat="false" ht="72" hidden="false" customHeight="true" outlineLevel="0" collapsed="false">
      <c r="B16" s="27" t="s">
        <v>131</v>
      </c>
      <c r="C16" s="28" t="str">
        <f aca="false">'RNF Accesibilidad'!C7</f>
        <v>Lectores de pantalla</v>
      </c>
      <c r="D16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6" s="29" t="str">
        <f aca="false">'RNF Accesibilidad'!E7</f>
        <v>Alta</v>
      </c>
      <c r="F16" s="30" t="n">
        <f aca="false">'RNF Accesibilidad'!F7</f>
        <v>0</v>
      </c>
    </row>
    <row r="17" customFormat="false" ht="42" hidden="false" customHeight="true" outlineLevel="0" collapsed="false">
      <c r="B17" s="27" t="s">
        <v>132</v>
      </c>
      <c r="C17" s="28" t="str">
        <f aca="false">'RNF Accesibilidad'!C8</f>
        <v>Contraste</v>
      </c>
      <c r="D17" s="28" t="str">
        <f aca="false">'RNF Accesibilidad'!D8</f>
        <v>Contraste mínimo de 4.5:1 para texto normal y 3:1 para texto grande y componentes de interfaz.</v>
      </c>
      <c r="E17" s="29" t="str">
        <f aca="false">'RNF Accesibilidad'!E8</f>
        <v>Alta</v>
      </c>
      <c r="F17" s="30" t="n">
        <f aca="false">'RNF Accesibilidad'!F8</f>
        <v>0</v>
      </c>
    </row>
    <row r="18" customFormat="false" ht="57" hidden="false" customHeight="true" outlineLevel="0" collapsed="false">
      <c r="B18" s="27" t="s">
        <v>133</v>
      </c>
      <c r="C18" s="28" t="str">
        <f aca="false">'RNF Accesibilidad'!C9</f>
        <v>Texto escalable</v>
      </c>
      <c r="D18" s="28" t="str">
        <f aca="false">'RNF Accesibilidad'!D9</f>
        <v>La interfaz respeta el tamaño de fuente del sistema y admite hasta 200 % de ampliación sin pérdida de contenido ni funcionalidad.</v>
      </c>
      <c r="E18" s="29" t="str">
        <f aca="false">'RNF Accesibilidad'!E9</f>
        <v>Alta</v>
      </c>
      <c r="F18" s="30" t="n">
        <f aca="false">'RNF Accesibilidad'!F9</f>
        <v>0</v>
      </c>
    </row>
    <row r="19" customFormat="false" ht="42" hidden="false" customHeight="true" outlineLevel="0" collapsed="false">
      <c r="B19" s="27" t="s">
        <v>134</v>
      </c>
      <c r="C19" s="28" t="str">
        <f aca="false">'RNF Accesibilidad'!C10</f>
        <v>Áreas táctiles</v>
      </c>
      <c r="D19" s="28" t="str">
        <f aca="false">'RNF Accesibilidad'!D10</f>
        <v>Los componentes táctiles tienen un área mínima de 48 × 48 dp en Android y 44 × 44 pt en iOS.</v>
      </c>
      <c r="E19" s="29" t="str">
        <f aca="false">'RNF Accesibilidad'!E10</f>
        <v>Alta</v>
      </c>
      <c r="F19" s="30" t="n">
        <f aca="false">'RNF Accesibilidad'!F10</f>
        <v>0</v>
      </c>
    </row>
    <row r="20" customFormat="false" ht="42" hidden="false" customHeight="true" outlineLevel="0" collapsed="false">
      <c r="B20" s="27" t="s">
        <v>135</v>
      </c>
      <c r="C20" s="28" t="str">
        <f aca="false">'RNF Accesibilidad'!C11</f>
        <v>Información no dependiente del color</v>
      </c>
      <c r="D20" s="28" t="str">
        <f aca="false">'RNF Accesibilidad'!D11</f>
        <v>Estados, errores y porcentajes se comunican con texto o ícono además del color.</v>
      </c>
      <c r="E20" s="29" t="str">
        <f aca="false">'RNF Accesibilidad'!E11</f>
        <v>Alta</v>
      </c>
      <c r="F20" s="30" t="n">
        <f aca="false">'RNF Accesibilidad'!F11</f>
        <v>0</v>
      </c>
    </row>
    <row r="21" customFormat="false" ht="57" hidden="false" customHeight="true" outlineLevel="0" collapsed="false">
      <c r="B21" s="27" t="s">
        <v>136</v>
      </c>
      <c r="C21" s="28" t="str">
        <f aca="false">'RNF Accesibilidad'!C12</f>
        <v>Navegación por teclado</v>
      </c>
      <c r="D21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1" s="29" t="str">
        <f aca="false">'RNF Accesibilidad'!E12</f>
        <v>Alta</v>
      </c>
      <c r="F21" s="30" t="n">
        <f aca="false">'RNF Accesibilidad'!F12</f>
        <v>0</v>
      </c>
    </row>
    <row r="22" customFormat="false" ht="42" hidden="false" customHeight="true" outlineLevel="0" collapsed="false">
      <c r="B22" s="27" t="s">
        <v>137</v>
      </c>
      <c r="C22" s="28" t="str">
        <f aca="false">'RNF Accesibilidad'!C13</f>
        <v>Lenguaje claro</v>
      </c>
      <c r="D22" s="28" t="str">
        <f aca="false">'RNF Accesibilidad'!D13</f>
        <v>Textos en lenguaje claro y sin tecnicismos; los errores de formulario indican qué campo falla y cómo corregirlo.</v>
      </c>
      <c r="E22" s="29" t="str">
        <f aca="false">'RNF Accesibilidad'!E13</f>
        <v>Media</v>
      </c>
      <c r="F22" s="30" t="n">
        <f aca="false">'RNF Accesibilidad'!F13</f>
        <v>0</v>
      </c>
    </row>
    <row r="23" customFormat="false" ht="42" hidden="false" customHeight="true" outlineLevel="0" collapsed="false">
      <c r="B23" s="27" t="s">
        <v>138</v>
      </c>
      <c r="C23" s="28" t="str">
        <f aca="false">'RNF Accesibilidad'!C14</f>
        <v>Movimiento reducido</v>
      </c>
      <c r="D23" s="28" t="str">
        <f aca="false">'RNF Accesibilidad'!D14</f>
        <v>Se respeta la preferencia de «reducir movimiento» del sistema y no hay contenido parpadeante.</v>
      </c>
      <c r="E23" s="29" t="str">
        <f aca="false">'RNF Accesibilidad'!E14</f>
        <v>Baja</v>
      </c>
      <c r="F23" s="30" t="n">
        <f aca="false">'RNF Accesibilidad'!F14</f>
        <v>0</v>
      </c>
    </row>
    <row r="24" customFormat="false" ht="42" hidden="false" customHeight="true" outlineLevel="0" collapsed="false">
      <c r="B24" s="27" t="s">
        <v>139</v>
      </c>
      <c r="C24" s="28" t="str">
        <f aca="false">'RNF Operativas Móvil'!C6</f>
        <v>Desempeño</v>
      </c>
      <c r="D24" s="28" t="str">
        <f aca="false">'RNF Operativas Móvil'!D6</f>
        <v>Tiempo de respuesta de las pantallas ≤ 2 s en el percentil 95 sobre red 4G.</v>
      </c>
      <c r="E24" s="29" t="str">
        <f aca="false">'RNF Operativas Móvil'!E6</f>
        <v>Alta</v>
      </c>
      <c r="F24" s="30" t="n">
        <f aca="false">'RNF Operativas Móvil'!F6</f>
        <v>0</v>
      </c>
    </row>
    <row r="25" customFormat="false" ht="42" hidden="false" customHeight="true" outlineLevel="0" collapsed="false">
      <c r="B25" s="27" t="s">
        <v>140</v>
      </c>
      <c r="C25" s="28" t="str">
        <f aca="false">'RNF Operativas Móvil'!C7</f>
        <v>Compatibilidad</v>
      </c>
      <c r="D25" s="28" t="str">
        <f aca="false">'RNF Operativas Móvil'!D7</f>
        <v>Ejecutable en Android 8+ e iOS 15+ con un solo código base (React Native + Expo).</v>
      </c>
      <c r="E25" s="29" t="str">
        <f aca="false">'RNF Operativas Móvil'!E7</f>
        <v>Alta</v>
      </c>
      <c r="F25" s="30" t="n">
        <f aca="false">'RNF Operativas Móvil'!F7</f>
        <v>0</v>
      </c>
    </row>
    <row r="26" customFormat="false" ht="42" hidden="false" customHeight="true" outlineLevel="0" collapsed="false">
      <c r="B26" s="27" t="s">
        <v>141</v>
      </c>
      <c r="C26" s="28" t="str">
        <f aca="false">'RNF Operativas Móvil'!C8</f>
        <v>Retroalimentación</v>
      </c>
      <c r="D26" s="28" t="str">
        <f aca="false">'RNF Operativas Móvil'!D8</f>
        <v>Toda acción que tarde más de 300 ms muestra un indicador de carga anunciado al lector de pantalla.</v>
      </c>
      <c r="E26" s="29" t="str">
        <f aca="false">'RNF Operativas Móvil'!E8</f>
        <v>Media</v>
      </c>
      <c r="F26" s="30" t="n">
        <f aca="false">'RNF Operativas Móvil'!F8</f>
        <v>0</v>
      </c>
    </row>
    <row r="27" customFormat="false" ht="57" hidden="false" customHeight="true" outlineLevel="0" collapsed="false">
      <c r="B27" s="27" t="s">
        <v>142</v>
      </c>
      <c r="C27" s="28" t="str">
        <f aca="false">'RNF Operativas Móvil'!C9</f>
        <v>Tolerancia a fallas de red</v>
      </c>
      <c r="D27" s="28" t="str">
        <f aca="false">'RNF Operativas Móvil'!D9</f>
        <v>La app conserva en caché el último listado de vacantes y postulaciones y avisa cuando no hay conexión; los formularios no pierden lo capturado.</v>
      </c>
      <c r="E27" s="29" t="str">
        <f aca="false">'RNF Operativas Móvil'!E9</f>
        <v>Media</v>
      </c>
      <c r="F27" s="30" t="n">
        <f aca="false">'RNF Operativas Móvil'!F9</f>
        <v>0</v>
      </c>
    </row>
    <row r="28" customFormat="false" ht="30" hidden="false" customHeight="true" outlineLevel="0" collapsed="false">
      <c r="B28" s="31" t="s">
        <v>143</v>
      </c>
      <c r="C28" s="32" t="str">
        <f aca="false">'RNF Operativas Móvil'!C10</f>
        <v>Orientación</v>
      </c>
      <c r="D28" s="32" t="str">
        <f aca="false">'RNF Operativas Móvil'!D10</f>
        <v>Las pantallas funcionan en orientación vertical y horizontal.</v>
      </c>
      <c r="E28" s="33" t="str">
        <f aca="false">'RNF Operativas Móvil'!E10</f>
        <v>Baja</v>
      </c>
      <c r="F28" s="34" t="n">
        <f aca="false">'RNF Operativas Móvil'!F10</f>
        <v>0</v>
      </c>
    </row>
    <row r="29" customFormat="false" ht="15" hidden="false" customHeight="false" outlineLevel="0" collapsed="false">
      <c r="B29" s="36" t="s">
        <v>144</v>
      </c>
    </row>
    <row r="32" customFormat="false" ht="15" hidden="false" customHeight="true" outlineLevel="0" collapsed="false">
      <c r="B32" s="37" t="s">
        <v>145</v>
      </c>
      <c r="C32" s="38" t="s">
        <v>146</v>
      </c>
      <c r="D32" s="38"/>
    </row>
    <row r="33" customFormat="false" ht="15" hidden="false" customHeight="true" outlineLevel="0" collapsed="false">
      <c r="B33" s="39" t="s">
        <v>147</v>
      </c>
      <c r="C33" s="40" t="s">
        <v>148</v>
      </c>
      <c r="D33" s="40"/>
    </row>
    <row r="34" customFormat="false" ht="15" hidden="false" customHeight="true" outlineLevel="0" collapsed="false">
      <c r="B34" s="39" t="s">
        <v>149</v>
      </c>
      <c r="C34" s="40" t="s">
        <v>150</v>
      </c>
      <c r="D34" s="40"/>
    </row>
    <row r="35" customFormat="false" ht="15" hidden="false" customHeight="true" outlineLevel="0" collapsed="false">
      <c r="B35" s="41" t="s">
        <v>151</v>
      </c>
      <c r="C35" s="42" t="s">
        <v>152</v>
      </c>
      <c r="D35" s="42"/>
    </row>
    <row r="38" customFormat="false" ht="15" hidden="false" customHeight="false" outlineLevel="0" collapsed="false">
      <c r="B38" s="43" t="s">
        <v>153</v>
      </c>
      <c r="C38" s="43"/>
    </row>
    <row r="39" customFormat="false" ht="15" hidden="false" customHeight="false" outlineLevel="0" collapsed="false">
      <c r="B39" s="44" t="s">
        <v>154</v>
      </c>
      <c r="C39" s="45" t="s">
        <v>155</v>
      </c>
    </row>
    <row r="40" customFormat="false" ht="15" hidden="false" customHeight="false" outlineLevel="0" collapsed="false">
      <c r="B40" s="46" t="s">
        <v>156</v>
      </c>
      <c r="C40" s="45" t="s">
        <v>157</v>
      </c>
    </row>
    <row r="41" customFormat="false" ht="15" hidden="false" customHeight="false" outlineLevel="0" collapsed="false">
      <c r="B41" s="47" t="s">
        <v>158</v>
      </c>
      <c r="C41" s="48" t="s">
        <v>159</v>
      </c>
    </row>
    <row r="44" customFormat="false" ht="30" hidden="false" customHeight="true" outlineLevel="0" collapsed="false">
      <c r="B44" s="49" t="s">
        <v>160</v>
      </c>
      <c r="C44" s="50"/>
      <c r="D44" s="50"/>
    </row>
  </sheetData>
  <mergeCells count="10">
    <mergeCell ref="B3:F3"/>
    <mergeCell ref="B4:F4"/>
    <mergeCell ref="B12:F12"/>
    <mergeCell ref="B13:F13"/>
    <mergeCell ref="C32:D32"/>
    <mergeCell ref="C33:D33"/>
    <mergeCell ref="C34:D34"/>
    <mergeCell ref="C35:D35"/>
    <mergeCell ref="B38:C38"/>
    <mergeCell ref="C44:D44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5:F28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344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345</v>
      </c>
      <c r="D6" s="28" t="s">
        <v>346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347</v>
      </c>
      <c r="D7" s="28" t="s">
        <v>348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349</v>
      </c>
      <c r="D8" s="28" t="s">
        <v>350</v>
      </c>
      <c r="E8" s="29" t="s">
        <v>175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351</v>
      </c>
      <c r="D9" s="28" t="s">
        <v>352</v>
      </c>
      <c r="E9" s="29" t="s">
        <v>175</v>
      </c>
      <c r="F9" s="30" t="n">
        <v>0</v>
      </c>
    </row>
    <row r="10" customFormat="false" ht="30" hidden="false" customHeight="true" outlineLevel="0" collapsed="false">
      <c r="B10" s="31" t="s">
        <v>172</v>
      </c>
      <c r="C10" s="32" t="s">
        <v>286</v>
      </c>
      <c r="D10" s="32" t="s">
        <v>353</v>
      </c>
      <c r="E10" s="33" t="s">
        <v>123</v>
      </c>
      <c r="F10" s="34" t="n">
        <v>0</v>
      </c>
    </row>
    <row r="13" customFormat="false" ht="48.75" hidden="false" customHeight="true" outlineLevel="0" collapsed="false">
      <c r="B13" s="35" t="s">
        <v>127</v>
      </c>
      <c r="C13" s="35"/>
      <c r="D13" s="35"/>
      <c r="E13" s="35"/>
      <c r="F13" s="35"/>
    </row>
    <row r="14" customFormat="false" ht="48" hidden="false" customHeight="true" outlineLevel="0" collapsed="false">
      <c r="B14" s="23" t="s">
        <v>354</v>
      </c>
      <c r="C14" s="23"/>
      <c r="D14" s="23"/>
      <c r="E14" s="23"/>
      <c r="F14" s="23"/>
    </row>
    <row r="15" customFormat="false" ht="22.5" hidden="false" customHeight="true" outlineLevel="0" collapsed="false">
      <c r="B15" s="24" t="s">
        <v>116</v>
      </c>
      <c r="C15" s="25" t="s">
        <v>129</v>
      </c>
      <c r="D15" s="25" t="s">
        <v>118</v>
      </c>
      <c r="E15" s="25" t="s">
        <v>119</v>
      </c>
      <c r="F15" s="26" t="s">
        <v>75</v>
      </c>
    </row>
    <row r="16" customFormat="false" ht="42" hidden="false" customHeight="true" outlineLevel="0" collapsed="false">
      <c r="B16" s="27" t="s">
        <v>130</v>
      </c>
      <c r="C16" s="28" t="str">
        <f aca="false">'RNF Accesibilidad'!C6</f>
        <v>Estándar de accesibilidad</v>
      </c>
      <c r="D16" s="28" t="str">
        <f aca="false">'RNF Accesibilidad'!D6</f>
        <v>Las interfaces cumplen las pautas WCAG 2.1 nivel AA.</v>
      </c>
      <c r="E16" s="29" t="str">
        <f aca="false">'RNF Accesibilidad'!E6</f>
        <v>Alta</v>
      </c>
      <c r="F16" s="30" t="n">
        <f aca="false">'RNF Accesibilidad'!F6</f>
        <v>0</v>
      </c>
    </row>
    <row r="17" customFormat="false" ht="72" hidden="false" customHeight="true" outlineLevel="0" collapsed="false">
      <c r="B17" s="27" t="s">
        <v>131</v>
      </c>
      <c r="C17" s="28" t="str">
        <f aca="false">'RNF Accesibilidad'!C7</f>
        <v>Lectores de pantalla</v>
      </c>
      <c r="D17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7" s="29" t="str">
        <f aca="false">'RNF Accesibilidad'!E7</f>
        <v>Alta</v>
      </c>
      <c r="F17" s="30" t="n">
        <f aca="false">'RNF Accesibilidad'!F7</f>
        <v>0</v>
      </c>
    </row>
    <row r="18" customFormat="false" ht="42" hidden="false" customHeight="true" outlineLevel="0" collapsed="false">
      <c r="B18" s="27" t="s">
        <v>132</v>
      </c>
      <c r="C18" s="28" t="str">
        <f aca="false">'RNF Accesibilidad'!C8</f>
        <v>Contraste</v>
      </c>
      <c r="D18" s="28" t="str">
        <f aca="false">'RNF Accesibilidad'!D8</f>
        <v>Contraste mínimo de 4.5:1 para texto normal y 3:1 para texto grande y componentes de interfaz.</v>
      </c>
      <c r="E18" s="29" t="str">
        <f aca="false">'RNF Accesibilidad'!E8</f>
        <v>Alta</v>
      </c>
      <c r="F18" s="30" t="n">
        <f aca="false">'RNF Accesibilidad'!F8</f>
        <v>0</v>
      </c>
    </row>
    <row r="19" customFormat="false" ht="57" hidden="false" customHeight="true" outlineLevel="0" collapsed="false">
      <c r="B19" s="27" t="s">
        <v>133</v>
      </c>
      <c r="C19" s="28" t="str">
        <f aca="false">'RNF Accesibilidad'!C9</f>
        <v>Texto escalable</v>
      </c>
      <c r="D19" s="28" t="str">
        <f aca="false">'RNF Accesibilidad'!D9</f>
        <v>La interfaz respeta el tamaño de fuente del sistema y admite hasta 200 % de ampliación sin pérdida de contenido ni funcionalidad.</v>
      </c>
      <c r="E19" s="29" t="str">
        <f aca="false">'RNF Accesibilidad'!E9</f>
        <v>Alta</v>
      </c>
      <c r="F19" s="30" t="n">
        <f aca="false">'RNF Accesibilidad'!F9</f>
        <v>0</v>
      </c>
    </row>
    <row r="20" customFormat="false" ht="42" hidden="false" customHeight="true" outlineLevel="0" collapsed="false">
      <c r="B20" s="27" t="s">
        <v>134</v>
      </c>
      <c r="C20" s="28" t="str">
        <f aca="false">'RNF Accesibilidad'!C10</f>
        <v>Áreas táctiles</v>
      </c>
      <c r="D20" s="28" t="str">
        <f aca="false">'RNF Accesibilidad'!D10</f>
        <v>Los componentes táctiles tienen un área mínima de 48 × 48 dp en Android y 44 × 44 pt en iOS.</v>
      </c>
      <c r="E20" s="29" t="str">
        <f aca="false">'RNF Accesibilidad'!E10</f>
        <v>Alta</v>
      </c>
      <c r="F20" s="30" t="n">
        <f aca="false">'RNF Accesibilidad'!F10</f>
        <v>0</v>
      </c>
    </row>
    <row r="21" customFormat="false" ht="42" hidden="false" customHeight="true" outlineLevel="0" collapsed="false">
      <c r="B21" s="27" t="s">
        <v>135</v>
      </c>
      <c r="C21" s="28" t="str">
        <f aca="false">'RNF Accesibilidad'!C11</f>
        <v>Información no dependiente del color</v>
      </c>
      <c r="D21" s="28" t="str">
        <f aca="false">'RNF Accesibilidad'!D11</f>
        <v>Estados, errores y porcentajes se comunican con texto o ícono además del color.</v>
      </c>
      <c r="E21" s="29" t="str">
        <f aca="false">'RNF Accesibilidad'!E11</f>
        <v>Alta</v>
      </c>
      <c r="F21" s="30" t="n">
        <f aca="false">'RNF Accesibilidad'!F11</f>
        <v>0</v>
      </c>
    </row>
    <row r="22" customFormat="false" ht="57" hidden="false" customHeight="true" outlineLevel="0" collapsed="false">
      <c r="B22" s="27" t="s">
        <v>136</v>
      </c>
      <c r="C22" s="28" t="str">
        <f aca="false">'RNF Accesibilidad'!C12</f>
        <v>Navegación por teclado</v>
      </c>
      <c r="D22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2" s="29" t="str">
        <f aca="false">'RNF Accesibilidad'!E12</f>
        <v>Alta</v>
      </c>
      <c r="F22" s="30" t="n">
        <f aca="false">'RNF Accesibilidad'!F12</f>
        <v>0</v>
      </c>
    </row>
    <row r="23" customFormat="false" ht="42" hidden="false" customHeight="true" outlineLevel="0" collapsed="false">
      <c r="B23" s="27" t="s">
        <v>137</v>
      </c>
      <c r="C23" s="28" t="str">
        <f aca="false">'RNF Accesibilidad'!C13</f>
        <v>Lenguaje claro</v>
      </c>
      <c r="D23" s="28" t="str">
        <f aca="false">'RNF Accesibilidad'!D13</f>
        <v>Textos en lenguaje claro y sin tecnicismos; los errores de formulario indican qué campo falla y cómo corregirlo.</v>
      </c>
      <c r="E23" s="29" t="str">
        <f aca="false">'RNF Accesibilidad'!E13</f>
        <v>Media</v>
      </c>
      <c r="F23" s="30" t="n">
        <f aca="false">'RNF Accesibilidad'!F13</f>
        <v>0</v>
      </c>
    </row>
    <row r="24" customFormat="false" ht="42" hidden="false" customHeight="true" outlineLevel="0" collapsed="false">
      <c r="B24" s="27" t="s">
        <v>138</v>
      </c>
      <c r="C24" s="28" t="str">
        <f aca="false">'RNF Accesibilidad'!C14</f>
        <v>Movimiento reducido</v>
      </c>
      <c r="D24" s="28" t="str">
        <f aca="false">'RNF Accesibilidad'!D14</f>
        <v>Se respeta la preferencia de «reducir movimiento» del sistema y no hay contenido parpadeante.</v>
      </c>
      <c r="E24" s="29" t="str">
        <f aca="false">'RNF Accesibilidad'!E14</f>
        <v>Baja</v>
      </c>
      <c r="F24" s="30" t="n">
        <f aca="false">'RNF Accesibilidad'!F14</f>
        <v>0</v>
      </c>
    </row>
    <row r="25" customFormat="false" ht="42" hidden="false" customHeight="true" outlineLevel="0" collapsed="false">
      <c r="B25" s="27" t="s">
        <v>139</v>
      </c>
      <c r="C25" s="28" t="str">
        <f aca="false">'RNF Operativas Móvil'!C6</f>
        <v>Desempeño</v>
      </c>
      <c r="D25" s="28" t="str">
        <f aca="false">'RNF Operativas Móvil'!D6</f>
        <v>Tiempo de respuesta de las pantallas ≤ 2 s en el percentil 95 sobre red 4G.</v>
      </c>
      <c r="E25" s="29" t="str">
        <f aca="false">'RNF Operativas Móvil'!E6</f>
        <v>Alta</v>
      </c>
      <c r="F25" s="30" t="n">
        <f aca="false">'RNF Operativas Móvil'!F6</f>
        <v>0</v>
      </c>
    </row>
    <row r="26" customFormat="false" ht="42" hidden="false" customHeight="true" outlineLevel="0" collapsed="false">
      <c r="B26" s="27" t="s">
        <v>140</v>
      </c>
      <c r="C26" s="28" t="str">
        <f aca="false">'RNF Operativas Móvil'!C7</f>
        <v>Compatibilidad</v>
      </c>
      <c r="D26" s="28" t="str">
        <f aca="false">'RNF Operativas Móvil'!D7</f>
        <v>Ejecutable en Android 8+ e iOS 15+ con un solo código base (React Native + Expo).</v>
      </c>
      <c r="E26" s="29" t="str">
        <f aca="false">'RNF Operativas Móvil'!E7</f>
        <v>Alta</v>
      </c>
      <c r="F26" s="30" t="n">
        <f aca="false">'RNF Operativas Móvil'!F7</f>
        <v>0</v>
      </c>
    </row>
    <row r="27" customFormat="false" ht="42" hidden="false" customHeight="true" outlineLevel="0" collapsed="false">
      <c r="B27" s="27" t="s">
        <v>141</v>
      </c>
      <c r="C27" s="28" t="str">
        <f aca="false">'RNF Operativas Móvil'!C8</f>
        <v>Retroalimentación</v>
      </c>
      <c r="D27" s="28" t="str">
        <f aca="false">'RNF Operativas Móvil'!D8</f>
        <v>Toda acción que tarde más de 300 ms muestra un indicador de carga anunciado al lector de pantalla.</v>
      </c>
      <c r="E27" s="29" t="str">
        <f aca="false">'RNF Operativas Móvil'!E8</f>
        <v>Media</v>
      </c>
      <c r="F27" s="30" t="n">
        <f aca="false">'RNF Operativas Móvil'!F8</f>
        <v>0</v>
      </c>
    </row>
    <row r="28" customFormat="false" ht="57" hidden="false" customHeight="true" outlineLevel="0" collapsed="false">
      <c r="B28" s="27" t="s">
        <v>142</v>
      </c>
      <c r="C28" s="28" t="str">
        <f aca="false">'RNF Operativas Móvil'!C9</f>
        <v>Tolerancia a fallas de red</v>
      </c>
      <c r="D28" s="28" t="str">
        <f aca="false">'RNF Operativas Móvil'!D9</f>
        <v>La app conserva en caché el último listado de vacantes y postulaciones y avisa cuando no hay conexión; los formularios no pierden lo capturado.</v>
      </c>
      <c r="E28" s="29" t="str">
        <f aca="false">'RNF Operativas Móvil'!E9</f>
        <v>Media</v>
      </c>
      <c r="F28" s="30" t="n">
        <f aca="false">'RNF Operativas Móvil'!F9</f>
        <v>0</v>
      </c>
    </row>
    <row r="29" customFormat="false" ht="30" hidden="false" customHeight="true" outlineLevel="0" collapsed="false">
      <c r="B29" s="31" t="s">
        <v>143</v>
      </c>
      <c r="C29" s="32" t="str">
        <f aca="false">'RNF Operativas Móvil'!C10</f>
        <v>Orientación</v>
      </c>
      <c r="D29" s="32" t="str">
        <f aca="false">'RNF Operativas Móvil'!D10</f>
        <v>Las pantallas funcionan en orientación vertical y horizontal.</v>
      </c>
      <c r="E29" s="33" t="str">
        <f aca="false">'RNF Operativas Móvil'!E10</f>
        <v>Baja</v>
      </c>
      <c r="F29" s="34" t="n">
        <f aca="false">'RNF Operativas Móvil'!F10</f>
        <v>0</v>
      </c>
    </row>
    <row r="30" customFormat="false" ht="15" hidden="false" customHeight="false" outlineLevel="0" collapsed="false">
      <c r="B30" s="36" t="s">
        <v>144</v>
      </c>
    </row>
    <row r="33" customFormat="false" ht="15" hidden="false" customHeight="true" outlineLevel="0" collapsed="false">
      <c r="B33" s="37" t="s">
        <v>145</v>
      </c>
      <c r="C33" s="38" t="s">
        <v>146</v>
      </c>
      <c r="D33" s="38"/>
    </row>
    <row r="34" customFormat="false" ht="15" hidden="false" customHeight="true" outlineLevel="0" collapsed="false">
      <c r="B34" s="39" t="s">
        <v>147</v>
      </c>
      <c r="C34" s="40" t="s">
        <v>148</v>
      </c>
      <c r="D34" s="40"/>
    </row>
    <row r="35" customFormat="false" ht="15" hidden="false" customHeight="true" outlineLevel="0" collapsed="false">
      <c r="B35" s="39" t="s">
        <v>149</v>
      </c>
      <c r="C35" s="40" t="s">
        <v>355</v>
      </c>
      <c r="D35" s="40"/>
    </row>
    <row r="36" customFormat="false" ht="15" hidden="false" customHeight="true" outlineLevel="0" collapsed="false">
      <c r="B36" s="41" t="s">
        <v>151</v>
      </c>
      <c r="C36" s="42" t="s">
        <v>152</v>
      </c>
      <c r="D36" s="42"/>
    </row>
    <row r="39" customFormat="false" ht="15" hidden="false" customHeight="false" outlineLevel="0" collapsed="false">
      <c r="B39" s="43" t="s">
        <v>153</v>
      </c>
      <c r="C39" s="43"/>
    </row>
    <row r="40" customFormat="false" ht="15" hidden="false" customHeight="false" outlineLevel="0" collapsed="false">
      <c r="B40" s="44" t="s">
        <v>154</v>
      </c>
      <c r="C40" s="45" t="s">
        <v>155</v>
      </c>
    </row>
    <row r="41" customFormat="false" ht="15" hidden="false" customHeight="false" outlineLevel="0" collapsed="false">
      <c r="B41" s="46" t="s">
        <v>156</v>
      </c>
      <c r="C41" s="45" t="s">
        <v>157</v>
      </c>
    </row>
    <row r="42" customFormat="false" ht="15" hidden="false" customHeight="false" outlineLevel="0" collapsed="false">
      <c r="B42" s="47" t="s">
        <v>158</v>
      </c>
      <c r="C42" s="48" t="s">
        <v>159</v>
      </c>
    </row>
    <row r="45" customFormat="false" ht="30" hidden="false" customHeight="true" outlineLevel="0" collapsed="false">
      <c r="B45" s="49" t="s">
        <v>160</v>
      </c>
      <c r="C45" s="50"/>
      <c r="D45" s="50"/>
    </row>
  </sheetData>
  <mergeCells count="10">
    <mergeCell ref="B3:F3"/>
    <mergeCell ref="B4:F4"/>
    <mergeCell ref="B13:F13"/>
    <mergeCell ref="B14:F14"/>
    <mergeCell ref="C33:D33"/>
    <mergeCell ref="C34:D34"/>
    <mergeCell ref="C35:D35"/>
    <mergeCell ref="C36:D36"/>
    <mergeCell ref="B39:C39"/>
    <mergeCell ref="C45:D4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6:F29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356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357</v>
      </c>
      <c r="D6" s="28" t="s">
        <v>358</v>
      </c>
      <c r="E6" s="29" t="s">
        <v>123</v>
      </c>
      <c r="F6" s="30" t="n">
        <v>0</v>
      </c>
    </row>
    <row r="7" customFormat="false" ht="30" hidden="false" customHeight="true" outlineLevel="0" collapsed="false">
      <c r="B7" s="27" t="s">
        <v>124</v>
      </c>
      <c r="C7" s="28" t="s">
        <v>310</v>
      </c>
      <c r="D7" s="28" t="s">
        <v>359</v>
      </c>
      <c r="E7" s="29" t="s">
        <v>175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360</v>
      </c>
      <c r="D8" s="28" t="s">
        <v>361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362</v>
      </c>
      <c r="D9" s="28" t="s">
        <v>363</v>
      </c>
      <c r="E9" s="29" t="s">
        <v>175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364</v>
      </c>
      <c r="D10" s="28" t="s">
        <v>365</v>
      </c>
      <c r="E10" s="29" t="s">
        <v>123</v>
      </c>
      <c r="F10" s="30" t="n">
        <v>0</v>
      </c>
    </row>
    <row r="11" customFormat="false" ht="42" hidden="false" customHeight="true" outlineLevel="0" collapsed="false">
      <c r="B11" s="31" t="s">
        <v>193</v>
      </c>
      <c r="C11" s="32" t="s">
        <v>366</v>
      </c>
      <c r="D11" s="32" t="s">
        <v>367</v>
      </c>
      <c r="E11" s="33" t="s">
        <v>175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31.5" hidden="false" customHeight="true" outlineLevel="0" collapsed="false">
      <c r="B15" s="23" t="s">
        <v>368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139</v>
      </c>
      <c r="C26" s="28" t="str">
        <f aca="false">'RNF Operativas Móvil'!C6</f>
        <v>Desempeño</v>
      </c>
      <c r="D26" s="28" t="str">
        <f aca="false">'RNF Operativas Móvil'!D6</f>
        <v>Tiempo de respuesta de las pantallas ≤ 2 s en el percentil 95 sobre red 4G.</v>
      </c>
      <c r="E26" s="29" t="str">
        <f aca="false">'RNF Operativas Móvil'!E6</f>
        <v>Alta</v>
      </c>
      <c r="F26" s="30" t="n">
        <f aca="false">'RNF Operativas Móvil'!F6</f>
        <v>0</v>
      </c>
    </row>
    <row r="27" customFormat="false" ht="42" hidden="false" customHeight="true" outlineLevel="0" collapsed="false">
      <c r="B27" s="27" t="s">
        <v>140</v>
      </c>
      <c r="C27" s="28" t="str">
        <f aca="false">'RNF Operativas Móvil'!C7</f>
        <v>Compatibilidad</v>
      </c>
      <c r="D27" s="28" t="str">
        <f aca="false">'RNF Operativas Móvil'!D7</f>
        <v>Ejecutable en Android 8+ e iOS 15+ con un solo código base (React Native + Expo).</v>
      </c>
      <c r="E27" s="29" t="str">
        <f aca="false">'RNF Operativas Móvil'!E7</f>
        <v>Alta</v>
      </c>
      <c r="F27" s="30" t="n">
        <f aca="false">'RNF Operativas Móvil'!F7</f>
        <v>0</v>
      </c>
    </row>
    <row r="28" customFormat="false" ht="42" hidden="false" customHeight="true" outlineLevel="0" collapsed="false">
      <c r="B28" s="27" t="s">
        <v>141</v>
      </c>
      <c r="C28" s="28" t="str">
        <f aca="false">'RNF Operativas Móvil'!C8</f>
        <v>Retroalimentación</v>
      </c>
      <c r="D28" s="28" t="str">
        <f aca="false">'RNF Operativas Móvil'!D8</f>
        <v>Toda acción que tarde más de 300 ms muestra un indicador de carga anunciado al lector de pantalla.</v>
      </c>
      <c r="E28" s="29" t="str">
        <f aca="false">'RNF Operativas Móvil'!E8</f>
        <v>Media</v>
      </c>
      <c r="F28" s="30" t="n">
        <f aca="false">'RNF Operativas Móvil'!F8</f>
        <v>0</v>
      </c>
    </row>
    <row r="29" customFormat="false" ht="57" hidden="false" customHeight="true" outlineLevel="0" collapsed="false">
      <c r="B29" s="27" t="s">
        <v>142</v>
      </c>
      <c r="C29" s="28" t="str">
        <f aca="false">'RNF Operativas Móvil'!C9</f>
        <v>Tolerancia a fallas de red</v>
      </c>
      <c r="D29" s="28" t="str">
        <f aca="false">'RNF Operativas Móvil'!D9</f>
        <v>La app conserva en caché el último listado de vacantes y postulaciones y avisa cuando no hay conexión; los formularios no pierden lo capturado.</v>
      </c>
      <c r="E29" s="29" t="str">
        <f aca="false">'RNF Operativas Móvil'!E9</f>
        <v>Media</v>
      </c>
      <c r="F29" s="30" t="n">
        <f aca="false">'RNF Operativas Móvil'!F9</f>
        <v>0</v>
      </c>
    </row>
    <row r="30" customFormat="false" ht="30" hidden="false" customHeight="true" outlineLevel="0" collapsed="false">
      <c r="B30" s="31" t="s">
        <v>143</v>
      </c>
      <c r="C30" s="32" t="str">
        <f aca="false">'RNF Operativas Móvil'!C10</f>
        <v>Orientación</v>
      </c>
      <c r="D30" s="32" t="str">
        <f aca="false">'RNF Operativas Móvil'!D10</f>
        <v>Las pantallas funcionan en orientación vertical y horizontal.</v>
      </c>
      <c r="E30" s="33" t="str">
        <f aca="false">'RNF Operativas Móvil'!E10</f>
        <v>Baja</v>
      </c>
      <c r="F30" s="34" t="n">
        <f aca="false">'RNF Operativas Móvil'!F10</f>
        <v>0</v>
      </c>
    </row>
    <row r="31" customFormat="false" ht="15" hidden="false" customHeight="false" outlineLevel="0" collapsed="false">
      <c r="B31" s="36" t="s">
        <v>144</v>
      </c>
    </row>
    <row r="34" customFormat="false" ht="15" hidden="false" customHeight="true" outlineLevel="0" collapsed="false">
      <c r="B34" s="37" t="s">
        <v>145</v>
      </c>
      <c r="C34" s="38" t="s">
        <v>146</v>
      </c>
      <c r="D34" s="38"/>
    </row>
    <row r="35" customFormat="false" ht="15" hidden="false" customHeight="true" outlineLevel="0" collapsed="false">
      <c r="B35" s="39" t="s">
        <v>147</v>
      </c>
      <c r="C35" s="40" t="s">
        <v>148</v>
      </c>
      <c r="D35" s="40"/>
    </row>
    <row r="36" customFormat="false" ht="15" hidden="false" customHeight="true" outlineLevel="0" collapsed="false">
      <c r="B36" s="39" t="s">
        <v>149</v>
      </c>
      <c r="C36" s="40" t="s">
        <v>150</v>
      </c>
      <c r="D36" s="40"/>
    </row>
    <row r="37" customFormat="false" ht="15" hidden="false" customHeight="true" outlineLevel="0" collapsed="false">
      <c r="B37" s="41" t="s">
        <v>151</v>
      </c>
      <c r="C37" s="42" t="s">
        <v>152</v>
      </c>
      <c r="D37" s="42"/>
    </row>
    <row r="40" customFormat="false" ht="15" hidden="false" customHeight="false" outlineLevel="0" collapsed="false">
      <c r="B40" s="43" t="s">
        <v>153</v>
      </c>
      <c r="C40" s="43"/>
    </row>
    <row r="41" customFormat="false" ht="15" hidden="false" customHeight="false" outlineLevel="0" collapsed="false">
      <c r="B41" s="44" t="s">
        <v>154</v>
      </c>
      <c r="C41" s="45" t="s">
        <v>155</v>
      </c>
    </row>
    <row r="42" customFormat="false" ht="15" hidden="false" customHeight="false" outlineLevel="0" collapsed="false">
      <c r="B42" s="46" t="s">
        <v>156</v>
      </c>
      <c r="C42" s="45" t="s">
        <v>157</v>
      </c>
    </row>
    <row r="43" customFormat="false" ht="15" hidden="false" customHeight="false" outlineLevel="0" collapsed="false">
      <c r="B43" s="47" t="s">
        <v>158</v>
      </c>
      <c r="C43" s="48" t="s">
        <v>159</v>
      </c>
    </row>
    <row r="46" customFormat="false" ht="30" hidden="false" customHeight="true" outlineLevel="0" collapsed="false">
      <c r="B46" s="49" t="s">
        <v>160</v>
      </c>
      <c r="C46" s="50"/>
      <c r="D46" s="50"/>
    </row>
  </sheetData>
  <mergeCells count="10">
    <mergeCell ref="B3:F3"/>
    <mergeCell ref="B4:F4"/>
    <mergeCell ref="B14:F14"/>
    <mergeCell ref="B15:F15"/>
    <mergeCell ref="C34:D34"/>
    <mergeCell ref="C35:D35"/>
    <mergeCell ref="C36:D36"/>
    <mergeCell ref="C37:D37"/>
    <mergeCell ref="B40:C40"/>
    <mergeCell ref="C46:D46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0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369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370</v>
      </c>
      <c r="D6" s="28" t="s">
        <v>371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255</v>
      </c>
      <c r="D7" s="28" t="s">
        <v>372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373</v>
      </c>
      <c r="D8" s="28" t="s">
        <v>374</v>
      </c>
      <c r="E8" s="29" t="s">
        <v>123</v>
      </c>
      <c r="F8" s="30" t="n">
        <v>0</v>
      </c>
    </row>
    <row r="9" customFormat="false" ht="72" hidden="false" customHeight="true" outlineLevel="0" collapsed="false">
      <c r="B9" s="27" t="s">
        <v>169</v>
      </c>
      <c r="C9" s="28" t="s">
        <v>375</v>
      </c>
      <c r="D9" s="28" t="s">
        <v>376</v>
      </c>
      <c r="E9" s="29" t="s">
        <v>123</v>
      </c>
      <c r="F9" s="30" t="n">
        <v>0</v>
      </c>
    </row>
    <row r="10" customFormat="false" ht="57" hidden="false" customHeight="true" outlineLevel="0" collapsed="false">
      <c r="B10" s="27" t="s">
        <v>172</v>
      </c>
      <c r="C10" s="28" t="s">
        <v>377</v>
      </c>
      <c r="D10" s="28" t="s">
        <v>378</v>
      </c>
      <c r="E10" s="29" t="s">
        <v>123</v>
      </c>
      <c r="F10" s="30" t="n">
        <v>0</v>
      </c>
    </row>
    <row r="11" customFormat="false" ht="57" hidden="false" customHeight="true" outlineLevel="0" collapsed="false">
      <c r="B11" s="31" t="s">
        <v>193</v>
      </c>
      <c r="C11" s="32" t="s">
        <v>379</v>
      </c>
      <c r="D11" s="32" t="s">
        <v>380</v>
      </c>
      <c r="E11" s="33" t="s">
        <v>175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31.5" hidden="false" customHeight="true" outlineLevel="0" collapsed="false">
      <c r="B15" s="23" t="s">
        <v>381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139</v>
      </c>
      <c r="C26" s="28" t="str">
        <f aca="false">'RNF Operativas Móvil'!C6</f>
        <v>Desempeño</v>
      </c>
      <c r="D26" s="28" t="str">
        <f aca="false">'RNF Operativas Móvil'!D6</f>
        <v>Tiempo de respuesta de las pantallas ≤ 2 s en el percentil 95 sobre red 4G.</v>
      </c>
      <c r="E26" s="29" t="str">
        <f aca="false">'RNF Operativas Móvil'!E6</f>
        <v>Alta</v>
      </c>
      <c r="F26" s="30" t="n">
        <f aca="false">'RNF Operativas Móvil'!F6</f>
        <v>0</v>
      </c>
    </row>
    <row r="27" customFormat="false" ht="42" hidden="false" customHeight="true" outlineLevel="0" collapsed="false">
      <c r="B27" s="27" t="s">
        <v>140</v>
      </c>
      <c r="C27" s="28" t="str">
        <f aca="false">'RNF Operativas Móvil'!C7</f>
        <v>Compatibilidad</v>
      </c>
      <c r="D27" s="28" t="str">
        <f aca="false">'RNF Operativas Móvil'!D7</f>
        <v>Ejecutable en Android 8+ e iOS 15+ con un solo código base (React Native + Expo).</v>
      </c>
      <c r="E27" s="29" t="str">
        <f aca="false">'RNF Operativas Móvil'!E7</f>
        <v>Alta</v>
      </c>
      <c r="F27" s="30" t="n">
        <f aca="false">'RNF Operativas Móvil'!F7</f>
        <v>0</v>
      </c>
    </row>
    <row r="28" customFormat="false" ht="42" hidden="false" customHeight="true" outlineLevel="0" collapsed="false">
      <c r="B28" s="27" t="s">
        <v>141</v>
      </c>
      <c r="C28" s="28" t="str">
        <f aca="false">'RNF Operativas Móvil'!C8</f>
        <v>Retroalimentación</v>
      </c>
      <c r="D28" s="28" t="str">
        <f aca="false">'RNF Operativas Móvil'!D8</f>
        <v>Toda acción que tarde más de 300 ms muestra un indicador de carga anunciado al lector de pantalla.</v>
      </c>
      <c r="E28" s="29" t="str">
        <f aca="false">'RNF Operativas Móvil'!E8</f>
        <v>Media</v>
      </c>
      <c r="F28" s="30" t="n">
        <f aca="false">'RNF Operativas Móvil'!F8</f>
        <v>0</v>
      </c>
    </row>
    <row r="29" customFormat="false" ht="57" hidden="false" customHeight="true" outlineLevel="0" collapsed="false">
      <c r="B29" s="27" t="s">
        <v>142</v>
      </c>
      <c r="C29" s="28" t="str">
        <f aca="false">'RNF Operativas Móvil'!C9</f>
        <v>Tolerancia a fallas de red</v>
      </c>
      <c r="D29" s="28" t="str">
        <f aca="false">'RNF Operativas Móvil'!D9</f>
        <v>La app conserva en caché el último listado de vacantes y postulaciones y avisa cuando no hay conexión; los formularios no pierden lo capturado.</v>
      </c>
      <c r="E29" s="29" t="str">
        <f aca="false">'RNF Operativas Móvil'!E9</f>
        <v>Media</v>
      </c>
      <c r="F29" s="30" t="n">
        <f aca="false">'RNF Operativas Móvil'!F9</f>
        <v>0</v>
      </c>
    </row>
    <row r="30" customFormat="false" ht="30" hidden="false" customHeight="true" outlineLevel="0" collapsed="false">
      <c r="B30" s="31" t="s">
        <v>143</v>
      </c>
      <c r="C30" s="32" t="str">
        <f aca="false">'RNF Operativas Móvil'!C10</f>
        <v>Orientación</v>
      </c>
      <c r="D30" s="32" t="str">
        <f aca="false">'RNF Operativas Móvil'!D10</f>
        <v>Las pantallas funcionan en orientación vertical y horizontal.</v>
      </c>
      <c r="E30" s="33" t="str">
        <f aca="false">'RNF Operativas Móvil'!E10</f>
        <v>Baja</v>
      </c>
      <c r="F30" s="34" t="n">
        <f aca="false">'RNF Operativas Móvil'!F10</f>
        <v>0</v>
      </c>
    </row>
    <row r="31" customFormat="false" ht="15" hidden="false" customHeight="false" outlineLevel="0" collapsed="false">
      <c r="B31" s="36" t="s">
        <v>144</v>
      </c>
    </row>
    <row r="34" customFormat="false" ht="15" hidden="false" customHeight="true" outlineLevel="0" collapsed="false">
      <c r="B34" s="37" t="s">
        <v>145</v>
      </c>
      <c r="C34" s="38" t="s">
        <v>146</v>
      </c>
      <c r="D34" s="38"/>
    </row>
    <row r="35" customFormat="false" ht="15" hidden="false" customHeight="true" outlineLevel="0" collapsed="false">
      <c r="B35" s="39" t="s">
        <v>147</v>
      </c>
      <c r="C35" s="40" t="s">
        <v>148</v>
      </c>
      <c r="D35" s="40"/>
    </row>
    <row r="36" customFormat="false" ht="30" hidden="false" customHeight="true" outlineLevel="0" collapsed="false">
      <c r="B36" s="39" t="s">
        <v>149</v>
      </c>
      <c r="C36" s="40" t="s">
        <v>382</v>
      </c>
      <c r="D36" s="40"/>
    </row>
    <row r="37" customFormat="false" ht="15" hidden="false" customHeight="true" outlineLevel="0" collapsed="false">
      <c r="B37" s="41" t="s">
        <v>151</v>
      </c>
      <c r="C37" s="42" t="s">
        <v>152</v>
      </c>
      <c r="D37" s="42"/>
    </row>
    <row r="40" customFormat="false" ht="15" hidden="false" customHeight="false" outlineLevel="0" collapsed="false">
      <c r="B40" s="43" t="s">
        <v>153</v>
      </c>
      <c r="C40" s="43"/>
    </row>
    <row r="41" customFormat="false" ht="15" hidden="false" customHeight="false" outlineLevel="0" collapsed="false">
      <c r="B41" s="44" t="s">
        <v>154</v>
      </c>
      <c r="C41" s="45" t="s">
        <v>155</v>
      </c>
    </row>
    <row r="42" customFormat="false" ht="15" hidden="false" customHeight="false" outlineLevel="0" collapsed="false">
      <c r="B42" s="46" t="s">
        <v>156</v>
      </c>
      <c r="C42" s="45" t="s">
        <v>157</v>
      </c>
    </row>
    <row r="43" customFormat="false" ht="15" hidden="false" customHeight="false" outlineLevel="0" collapsed="false">
      <c r="B43" s="47" t="s">
        <v>158</v>
      </c>
      <c r="C43" s="48" t="s">
        <v>159</v>
      </c>
    </row>
    <row r="46" customFormat="false" ht="30" hidden="false" customHeight="true" outlineLevel="0" collapsed="false">
      <c r="B46" s="49" t="s">
        <v>160</v>
      </c>
      <c r="C46" s="50"/>
      <c r="D46" s="50"/>
    </row>
  </sheetData>
  <mergeCells count="10">
    <mergeCell ref="B3:F3"/>
    <mergeCell ref="B4:F4"/>
    <mergeCell ref="B14:F14"/>
    <mergeCell ref="B15:F15"/>
    <mergeCell ref="C34:D34"/>
    <mergeCell ref="C35:D35"/>
    <mergeCell ref="C36:D36"/>
    <mergeCell ref="C37:D37"/>
    <mergeCell ref="B40:C40"/>
    <mergeCell ref="C46:D46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0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383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384</v>
      </c>
      <c r="D6" s="28" t="s">
        <v>385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386</v>
      </c>
      <c r="D7" s="28" t="s">
        <v>387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388</v>
      </c>
      <c r="D8" s="28" t="s">
        <v>389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242</v>
      </c>
      <c r="D9" s="28" t="s">
        <v>390</v>
      </c>
      <c r="E9" s="29" t="s">
        <v>175</v>
      </c>
      <c r="F9" s="30" t="n">
        <v>0</v>
      </c>
    </row>
    <row r="10" customFormat="false" ht="42" hidden="false" customHeight="true" outlineLevel="0" collapsed="false">
      <c r="B10" s="31" t="s">
        <v>172</v>
      </c>
      <c r="C10" s="32" t="s">
        <v>316</v>
      </c>
      <c r="D10" s="32" t="s">
        <v>391</v>
      </c>
      <c r="E10" s="33" t="s">
        <v>175</v>
      </c>
      <c r="F10" s="34" t="n">
        <v>0</v>
      </c>
    </row>
    <row r="13" customFormat="false" ht="48.75" hidden="false" customHeight="true" outlineLevel="0" collapsed="false">
      <c r="B13" s="35" t="s">
        <v>127</v>
      </c>
      <c r="C13" s="35"/>
      <c r="D13" s="35"/>
      <c r="E13" s="35"/>
      <c r="F13" s="35"/>
    </row>
    <row r="14" customFormat="false" ht="31.5" hidden="false" customHeight="true" outlineLevel="0" collapsed="false">
      <c r="B14" s="23" t="s">
        <v>392</v>
      </c>
      <c r="C14" s="23"/>
      <c r="D14" s="23"/>
      <c r="E14" s="23"/>
      <c r="F14" s="23"/>
    </row>
    <row r="15" customFormat="false" ht="22.5" hidden="false" customHeight="true" outlineLevel="0" collapsed="false">
      <c r="B15" s="24" t="s">
        <v>116</v>
      </c>
      <c r="C15" s="25" t="s">
        <v>129</v>
      </c>
      <c r="D15" s="25" t="s">
        <v>118</v>
      </c>
      <c r="E15" s="25" t="s">
        <v>119</v>
      </c>
      <c r="F15" s="26" t="s">
        <v>75</v>
      </c>
    </row>
    <row r="16" customFormat="false" ht="42" hidden="false" customHeight="true" outlineLevel="0" collapsed="false">
      <c r="B16" s="27" t="s">
        <v>130</v>
      </c>
      <c r="C16" s="28" t="str">
        <f aca="false">'RNF Accesibilidad'!C6</f>
        <v>Estándar de accesibilidad</v>
      </c>
      <c r="D16" s="28" t="str">
        <f aca="false">'RNF Accesibilidad'!D6</f>
        <v>Las interfaces cumplen las pautas WCAG 2.1 nivel AA.</v>
      </c>
      <c r="E16" s="29" t="str">
        <f aca="false">'RNF Accesibilidad'!E6</f>
        <v>Alta</v>
      </c>
      <c r="F16" s="30" t="n">
        <f aca="false">'RNF Accesibilidad'!F6</f>
        <v>0</v>
      </c>
    </row>
    <row r="17" customFormat="false" ht="72" hidden="false" customHeight="true" outlineLevel="0" collapsed="false">
      <c r="B17" s="27" t="s">
        <v>131</v>
      </c>
      <c r="C17" s="28" t="str">
        <f aca="false">'RNF Accesibilidad'!C7</f>
        <v>Lectores de pantalla</v>
      </c>
      <c r="D17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7" s="29" t="str">
        <f aca="false">'RNF Accesibilidad'!E7</f>
        <v>Alta</v>
      </c>
      <c r="F17" s="30" t="n">
        <f aca="false">'RNF Accesibilidad'!F7</f>
        <v>0</v>
      </c>
    </row>
    <row r="18" customFormat="false" ht="42" hidden="false" customHeight="true" outlineLevel="0" collapsed="false">
      <c r="B18" s="27" t="s">
        <v>132</v>
      </c>
      <c r="C18" s="28" t="str">
        <f aca="false">'RNF Accesibilidad'!C8</f>
        <v>Contraste</v>
      </c>
      <c r="D18" s="28" t="str">
        <f aca="false">'RNF Accesibilidad'!D8</f>
        <v>Contraste mínimo de 4.5:1 para texto normal y 3:1 para texto grande y componentes de interfaz.</v>
      </c>
      <c r="E18" s="29" t="str">
        <f aca="false">'RNF Accesibilidad'!E8</f>
        <v>Alta</v>
      </c>
      <c r="F18" s="30" t="n">
        <f aca="false">'RNF Accesibilidad'!F8</f>
        <v>0</v>
      </c>
    </row>
    <row r="19" customFormat="false" ht="57" hidden="false" customHeight="true" outlineLevel="0" collapsed="false">
      <c r="B19" s="27" t="s">
        <v>133</v>
      </c>
      <c r="C19" s="28" t="str">
        <f aca="false">'RNF Accesibilidad'!C9</f>
        <v>Texto escalable</v>
      </c>
      <c r="D19" s="28" t="str">
        <f aca="false">'RNF Accesibilidad'!D9</f>
        <v>La interfaz respeta el tamaño de fuente del sistema y admite hasta 200 % de ampliación sin pérdida de contenido ni funcionalidad.</v>
      </c>
      <c r="E19" s="29" t="str">
        <f aca="false">'RNF Accesibilidad'!E9</f>
        <v>Alta</v>
      </c>
      <c r="F19" s="30" t="n">
        <f aca="false">'RNF Accesibilidad'!F9</f>
        <v>0</v>
      </c>
    </row>
    <row r="20" customFormat="false" ht="42" hidden="false" customHeight="true" outlineLevel="0" collapsed="false">
      <c r="B20" s="27" t="s">
        <v>134</v>
      </c>
      <c r="C20" s="28" t="str">
        <f aca="false">'RNF Accesibilidad'!C10</f>
        <v>Áreas táctiles</v>
      </c>
      <c r="D20" s="28" t="str">
        <f aca="false">'RNF Accesibilidad'!D10</f>
        <v>Los componentes táctiles tienen un área mínima de 48 × 48 dp en Android y 44 × 44 pt en iOS.</v>
      </c>
      <c r="E20" s="29" t="str">
        <f aca="false">'RNF Accesibilidad'!E10</f>
        <v>Alta</v>
      </c>
      <c r="F20" s="30" t="n">
        <f aca="false">'RNF Accesibilidad'!F10</f>
        <v>0</v>
      </c>
    </row>
    <row r="21" customFormat="false" ht="42" hidden="false" customHeight="true" outlineLevel="0" collapsed="false">
      <c r="B21" s="27" t="s">
        <v>135</v>
      </c>
      <c r="C21" s="28" t="str">
        <f aca="false">'RNF Accesibilidad'!C11</f>
        <v>Información no dependiente del color</v>
      </c>
      <c r="D21" s="28" t="str">
        <f aca="false">'RNF Accesibilidad'!D11</f>
        <v>Estados, errores y porcentajes se comunican con texto o ícono además del color.</v>
      </c>
      <c r="E21" s="29" t="str">
        <f aca="false">'RNF Accesibilidad'!E11</f>
        <v>Alta</v>
      </c>
      <c r="F21" s="30" t="n">
        <f aca="false">'RNF Accesibilidad'!F11</f>
        <v>0</v>
      </c>
    </row>
    <row r="22" customFormat="false" ht="57" hidden="false" customHeight="true" outlineLevel="0" collapsed="false">
      <c r="B22" s="27" t="s">
        <v>136</v>
      </c>
      <c r="C22" s="28" t="str">
        <f aca="false">'RNF Accesibilidad'!C12</f>
        <v>Navegación por teclado</v>
      </c>
      <c r="D22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2" s="29" t="str">
        <f aca="false">'RNF Accesibilidad'!E12</f>
        <v>Alta</v>
      </c>
      <c r="F22" s="30" t="n">
        <f aca="false">'RNF Accesibilidad'!F12</f>
        <v>0</v>
      </c>
    </row>
    <row r="23" customFormat="false" ht="42" hidden="false" customHeight="true" outlineLevel="0" collapsed="false">
      <c r="B23" s="27" t="s">
        <v>137</v>
      </c>
      <c r="C23" s="28" t="str">
        <f aca="false">'RNF Accesibilidad'!C13</f>
        <v>Lenguaje claro</v>
      </c>
      <c r="D23" s="28" t="str">
        <f aca="false">'RNF Accesibilidad'!D13</f>
        <v>Textos en lenguaje claro y sin tecnicismos; los errores de formulario indican qué campo falla y cómo corregirlo.</v>
      </c>
      <c r="E23" s="29" t="str">
        <f aca="false">'RNF Accesibilidad'!E13</f>
        <v>Media</v>
      </c>
      <c r="F23" s="30" t="n">
        <f aca="false">'RNF Accesibilidad'!F13</f>
        <v>0</v>
      </c>
    </row>
    <row r="24" customFormat="false" ht="42" hidden="false" customHeight="true" outlineLevel="0" collapsed="false">
      <c r="B24" s="27" t="s">
        <v>138</v>
      </c>
      <c r="C24" s="28" t="str">
        <f aca="false">'RNF Accesibilidad'!C14</f>
        <v>Movimiento reducido</v>
      </c>
      <c r="D24" s="28" t="str">
        <f aca="false">'RNF Accesibilidad'!D14</f>
        <v>Se respeta la preferencia de «reducir movimiento» del sistema y no hay contenido parpadeante.</v>
      </c>
      <c r="E24" s="29" t="str">
        <f aca="false">'RNF Accesibilidad'!E14</f>
        <v>Baja</v>
      </c>
      <c r="F24" s="30" t="n">
        <f aca="false">'RNF Accesibilidad'!F14</f>
        <v>0</v>
      </c>
    </row>
    <row r="25" customFormat="false" ht="42" hidden="false" customHeight="true" outlineLevel="0" collapsed="false">
      <c r="B25" s="27" t="s">
        <v>139</v>
      </c>
      <c r="C25" s="28" t="str">
        <f aca="false">'RNF Operativas Móvil'!C6</f>
        <v>Desempeño</v>
      </c>
      <c r="D25" s="28" t="str">
        <f aca="false">'RNF Operativas Móvil'!D6</f>
        <v>Tiempo de respuesta de las pantallas ≤ 2 s en el percentil 95 sobre red 4G.</v>
      </c>
      <c r="E25" s="29" t="str">
        <f aca="false">'RNF Operativas Móvil'!E6</f>
        <v>Alta</v>
      </c>
      <c r="F25" s="30" t="n">
        <f aca="false">'RNF Operativas Móvil'!F6</f>
        <v>0</v>
      </c>
    </row>
    <row r="26" customFormat="false" ht="42" hidden="false" customHeight="true" outlineLevel="0" collapsed="false">
      <c r="B26" s="27" t="s">
        <v>140</v>
      </c>
      <c r="C26" s="28" t="str">
        <f aca="false">'RNF Operativas Móvil'!C7</f>
        <v>Compatibilidad</v>
      </c>
      <c r="D26" s="28" t="str">
        <f aca="false">'RNF Operativas Móvil'!D7</f>
        <v>Ejecutable en Android 8+ e iOS 15+ con un solo código base (React Native + Expo).</v>
      </c>
      <c r="E26" s="29" t="str">
        <f aca="false">'RNF Operativas Móvil'!E7</f>
        <v>Alta</v>
      </c>
      <c r="F26" s="30" t="n">
        <f aca="false">'RNF Operativas Móvil'!F7</f>
        <v>0</v>
      </c>
    </row>
    <row r="27" customFormat="false" ht="42" hidden="false" customHeight="true" outlineLevel="0" collapsed="false">
      <c r="B27" s="27" t="s">
        <v>141</v>
      </c>
      <c r="C27" s="28" t="str">
        <f aca="false">'RNF Operativas Móvil'!C8</f>
        <v>Retroalimentación</v>
      </c>
      <c r="D27" s="28" t="str">
        <f aca="false">'RNF Operativas Móvil'!D8</f>
        <v>Toda acción que tarde más de 300 ms muestra un indicador de carga anunciado al lector de pantalla.</v>
      </c>
      <c r="E27" s="29" t="str">
        <f aca="false">'RNF Operativas Móvil'!E8</f>
        <v>Media</v>
      </c>
      <c r="F27" s="30" t="n">
        <f aca="false">'RNF Operativas Móvil'!F8</f>
        <v>0</v>
      </c>
    </row>
    <row r="28" customFormat="false" ht="57" hidden="false" customHeight="true" outlineLevel="0" collapsed="false">
      <c r="B28" s="27" t="s">
        <v>142</v>
      </c>
      <c r="C28" s="28" t="str">
        <f aca="false">'RNF Operativas Móvil'!C9</f>
        <v>Tolerancia a fallas de red</v>
      </c>
      <c r="D28" s="28" t="str">
        <f aca="false">'RNF Operativas Móvil'!D9</f>
        <v>La app conserva en caché el último listado de vacantes y postulaciones y avisa cuando no hay conexión; los formularios no pierden lo capturado.</v>
      </c>
      <c r="E28" s="29" t="str">
        <f aca="false">'RNF Operativas Móvil'!E9</f>
        <v>Media</v>
      </c>
      <c r="F28" s="30" t="n">
        <f aca="false">'RNF Operativas Móvil'!F9</f>
        <v>0</v>
      </c>
    </row>
    <row r="29" customFormat="false" ht="30" hidden="false" customHeight="true" outlineLevel="0" collapsed="false">
      <c r="B29" s="31" t="s">
        <v>143</v>
      </c>
      <c r="C29" s="32" t="str">
        <f aca="false">'RNF Operativas Móvil'!C10</f>
        <v>Orientación</v>
      </c>
      <c r="D29" s="32" t="str">
        <f aca="false">'RNF Operativas Móvil'!D10</f>
        <v>Las pantallas funcionan en orientación vertical y horizontal.</v>
      </c>
      <c r="E29" s="33" t="str">
        <f aca="false">'RNF Operativas Móvil'!E10</f>
        <v>Baja</v>
      </c>
      <c r="F29" s="34" t="n">
        <f aca="false">'RNF Operativas Móvil'!F10</f>
        <v>0</v>
      </c>
    </row>
    <row r="30" customFormat="false" ht="15" hidden="false" customHeight="false" outlineLevel="0" collapsed="false">
      <c r="B30" s="36" t="s">
        <v>144</v>
      </c>
    </row>
    <row r="33" customFormat="false" ht="15" hidden="false" customHeight="true" outlineLevel="0" collapsed="false">
      <c r="B33" s="37" t="s">
        <v>145</v>
      </c>
      <c r="C33" s="38" t="s">
        <v>146</v>
      </c>
      <c r="D33" s="38"/>
    </row>
    <row r="34" customFormat="false" ht="15" hidden="false" customHeight="true" outlineLevel="0" collapsed="false">
      <c r="B34" s="39" t="s">
        <v>147</v>
      </c>
      <c r="C34" s="40" t="s">
        <v>148</v>
      </c>
      <c r="D34" s="40"/>
    </row>
    <row r="35" customFormat="false" ht="15" hidden="false" customHeight="true" outlineLevel="0" collapsed="false">
      <c r="B35" s="39" t="s">
        <v>149</v>
      </c>
      <c r="C35" s="40" t="s">
        <v>251</v>
      </c>
      <c r="D35" s="40"/>
    </row>
    <row r="36" customFormat="false" ht="15" hidden="false" customHeight="true" outlineLevel="0" collapsed="false">
      <c r="B36" s="41" t="s">
        <v>151</v>
      </c>
      <c r="C36" s="42" t="s">
        <v>152</v>
      </c>
      <c r="D36" s="42"/>
    </row>
    <row r="39" customFormat="false" ht="15" hidden="false" customHeight="false" outlineLevel="0" collapsed="false">
      <c r="B39" s="43" t="s">
        <v>153</v>
      </c>
      <c r="C39" s="43"/>
    </row>
    <row r="40" customFormat="false" ht="15" hidden="false" customHeight="false" outlineLevel="0" collapsed="false">
      <c r="B40" s="44" t="s">
        <v>154</v>
      </c>
      <c r="C40" s="45" t="s">
        <v>155</v>
      </c>
    </row>
    <row r="41" customFormat="false" ht="15" hidden="false" customHeight="false" outlineLevel="0" collapsed="false">
      <c r="B41" s="46" t="s">
        <v>156</v>
      </c>
      <c r="C41" s="45" t="s">
        <v>157</v>
      </c>
    </row>
    <row r="42" customFormat="false" ht="15" hidden="false" customHeight="false" outlineLevel="0" collapsed="false">
      <c r="B42" s="47" t="s">
        <v>158</v>
      </c>
      <c r="C42" s="48" t="s">
        <v>159</v>
      </c>
    </row>
    <row r="45" customFormat="false" ht="30" hidden="false" customHeight="true" outlineLevel="0" collapsed="false">
      <c r="B45" s="49" t="s">
        <v>160</v>
      </c>
      <c r="C45" s="50"/>
      <c r="D45" s="50"/>
    </row>
  </sheetData>
  <mergeCells count="10">
    <mergeCell ref="B3:F3"/>
    <mergeCell ref="B4:F4"/>
    <mergeCell ref="B13:F13"/>
    <mergeCell ref="B14:F14"/>
    <mergeCell ref="C33:D33"/>
    <mergeCell ref="C34:D34"/>
    <mergeCell ref="C35:D35"/>
    <mergeCell ref="C36:D36"/>
    <mergeCell ref="B39:C39"/>
    <mergeCell ref="C45:D4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6:F29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393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394</v>
      </c>
      <c r="D6" s="28" t="s">
        <v>395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259</v>
      </c>
      <c r="D7" s="28" t="s">
        <v>396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280</v>
      </c>
      <c r="D8" s="28" t="s">
        <v>397</v>
      </c>
      <c r="E8" s="29" t="s">
        <v>123</v>
      </c>
      <c r="F8" s="30" t="n">
        <v>0</v>
      </c>
    </row>
    <row r="9" customFormat="false" ht="72" hidden="false" customHeight="true" outlineLevel="0" collapsed="false">
      <c r="B9" s="27" t="s">
        <v>169</v>
      </c>
      <c r="C9" s="28" t="s">
        <v>360</v>
      </c>
      <c r="D9" s="28" t="s">
        <v>398</v>
      </c>
      <c r="E9" s="29" t="s">
        <v>123</v>
      </c>
      <c r="F9" s="30" t="n">
        <v>0</v>
      </c>
    </row>
    <row r="10" customFormat="false" ht="57" hidden="false" customHeight="true" outlineLevel="0" collapsed="false">
      <c r="B10" s="27" t="s">
        <v>172</v>
      </c>
      <c r="C10" s="28" t="s">
        <v>399</v>
      </c>
      <c r="D10" s="28" t="s">
        <v>400</v>
      </c>
      <c r="E10" s="29" t="s">
        <v>123</v>
      </c>
      <c r="F10" s="30" t="n">
        <v>0</v>
      </c>
    </row>
    <row r="11" customFormat="false" ht="42" hidden="false" customHeight="true" outlineLevel="0" collapsed="false">
      <c r="B11" s="27" t="s">
        <v>193</v>
      </c>
      <c r="C11" s="28" t="s">
        <v>401</v>
      </c>
      <c r="D11" s="28" t="s">
        <v>402</v>
      </c>
      <c r="E11" s="29" t="s">
        <v>175</v>
      </c>
      <c r="F11" s="30" t="n">
        <v>0</v>
      </c>
    </row>
    <row r="12" customFormat="false" ht="42" hidden="false" customHeight="true" outlineLevel="0" collapsed="false">
      <c r="B12" s="31" t="s">
        <v>196</v>
      </c>
      <c r="C12" s="32" t="s">
        <v>403</v>
      </c>
      <c r="D12" s="32" t="s">
        <v>404</v>
      </c>
      <c r="E12" s="33" t="s">
        <v>215</v>
      </c>
      <c r="F12" s="34" t="n">
        <v>0</v>
      </c>
    </row>
    <row r="15" customFormat="false" ht="48.75" hidden="false" customHeight="true" outlineLevel="0" collapsed="false">
      <c r="B15" s="35" t="s">
        <v>127</v>
      </c>
      <c r="C15" s="35"/>
      <c r="D15" s="35"/>
      <c r="E15" s="35"/>
      <c r="F15" s="35"/>
    </row>
    <row r="16" customFormat="false" ht="48" hidden="false" customHeight="true" outlineLevel="0" collapsed="false">
      <c r="B16" s="23" t="s">
        <v>405</v>
      </c>
      <c r="C16" s="23"/>
      <c r="D16" s="23"/>
      <c r="E16" s="23"/>
      <c r="F16" s="23"/>
    </row>
    <row r="17" customFormat="false" ht="22.5" hidden="false" customHeight="true" outlineLevel="0" collapsed="false">
      <c r="B17" s="24" t="s">
        <v>116</v>
      </c>
      <c r="C17" s="25" t="s">
        <v>129</v>
      </c>
      <c r="D17" s="25" t="s">
        <v>118</v>
      </c>
      <c r="E17" s="25" t="s">
        <v>119</v>
      </c>
      <c r="F17" s="26" t="s">
        <v>75</v>
      </c>
    </row>
    <row r="18" customFormat="false" ht="42" hidden="false" customHeight="true" outlineLevel="0" collapsed="false">
      <c r="B18" s="27" t="s">
        <v>130</v>
      </c>
      <c r="C18" s="28" t="str">
        <f aca="false">'RNF Accesibilidad'!C6</f>
        <v>Estándar de accesibilidad</v>
      </c>
      <c r="D18" s="28" t="str">
        <f aca="false">'RNF Accesibilidad'!D6</f>
        <v>Las interfaces cumplen las pautas WCAG 2.1 nivel AA.</v>
      </c>
      <c r="E18" s="29" t="str">
        <f aca="false">'RNF Accesibilidad'!E6</f>
        <v>Alta</v>
      </c>
      <c r="F18" s="30" t="n">
        <f aca="false">'RNF Accesibilidad'!F6</f>
        <v>0</v>
      </c>
    </row>
    <row r="19" customFormat="false" ht="72" hidden="false" customHeight="true" outlineLevel="0" collapsed="false">
      <c r="B19" s="27" t="s">
        <v>131</v>
      </c>
      <c r="C19" s="28" t="str">
        <f aca="false">'RNF Accesibilidad'!C7</f>
        <v>Lectores de pantalla</v>
      </c>
      <c r="D19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9" s="29" t="str">
        <f aca="false">'RNF Accesibilidad'!E7</f>
        <v>Alta</v>
      </c>
      <c r="F19" s="30" t="n">
        <f aca="false">'RNF Accesibilidad'!F7</f>
        <v>0</v>
      </c>
    </row>
    <row r="20" customFormat="false" ht="42" hidden="false" customHeight="true" outlineLevel="0" collapsed="false">
      <c r="B20" s="27" t="s">
        <v>132</v>
      </c>
      <c r="C20" s="28" t="str">
        <f aca="false">'RNF Accesibilidad'!C8</f>
        <v>Contraste</v>
      </c>
      <c r="D20" s="28" t="str">
        <f aca="false">'RNF Accesibilidad'!D8</f>
        <v>Contraste mínimo de 4.5:1 para texto normal y 3:1 para texto grande y componentes de interfaz.</v>
      </c>
      <c r="E20" s="29" t="str">
        <f aca="false">'RNF Accesibilidad'!E8</f>
        <v>Alta</v>
      </c>
      <c r="F20" s="30" t="n">
        <f aca="false">'RNF Accesibilidad'!F8</f>
        <v>0</v>
      </c>
    </row>
    <row r="21" customFormat="false" ht="57" hidden="false" customHeight="true" outlineLevel="0" collapsed="false">
      <c r="B21" s="27" t="s">
        <v>133</v>
      </c>
      <c r="C21" s="28" t="str">
        <f aca="false">'RNF Accesibilidad'!C9</f>
        <v>Texto escalable</v>
      </c>
      <c r="D21" s="28" t="str">
        <f aca="false">'RNF Accesibilidad'!D9</f>
        <v>La interfaz respeta el tamaño de fuente del sistema y admite hasta 200 % de ampliación sin pérdida de contenido ni funcionalidad.</v>
      </c>
      <c r="E21" s="29" t="str">
        <f aca="false">'RNF Accesibilidad'!E9</f>
        <v>Alta</v>
      </c>
      <c r="F21" s="30" t="n">
        <f aca="false">'RNF Accesibilidad'!F9</f>
        <v>0</v>
      </c>
    </row>
    <row r="22" customFormat="false" ht="42" hidden="false" customHeight="true" outlineLevel="0" collapsed="false">
      <c r="B22" s="27" t="s">
        <v>134</v>
      </c>
      <c r="C22" s="28" t="str">
        <f aca="false">'RNF Accesibilidad'!C10</f>
        <v>Áreas táctiles</v>
      </c>
      <c r="D22" s="28" t="str">
        <f aca="false">'RNF Accesibilidad'!D10</f>
        <v>Los componentes táctiles tienen un área mínima de 48 × 48 dp en Android y 44 × 44 pt en iOS.</v>
      </c>
      <c r="E22" s="29" t="str">
        <f aca="false">'RNF Accesibilidad'!E10</f>
        <v>Alta</v>
      </c>
      <c r="F22" s="30" t="n">
        <f aca="false">'RNF Accesibilidad'!F10</f>
        <v>0</v>
      </c>
    </row>
    <row r="23" customFormat="false" ht="42" hidden="false" customHeight="true" outlineLevel="0" collapsed="false">
      <c r="B23" s="27" t="s">
        <v>135</v>
      </c>
      <c r="C23" s="28" t="str">
        <f aca="false">'RNF Accesibilidad'!C11</f>
        <v>Información no dependiente del color</v>
      </c>
      <c r="D23" s="28" t="str">
        <f aca="false">'RNF Accesibilidad'!D11</f>
        <v>Estados, errores y porcentajes se comunican con texto o ícono además del color.</v>
      </c>
      <c r="E23" s="29" t="str">
        <f aca="false">'RNF Accesibilidad'!E11</f>
        <v>Alta</v>
      </c>
      <c r="F23" s="30" t="n">
        <f aca="false">'RNF Accesibilidad'!F11</f>
        <v>0</v>
      </c>
    </row>
    <row r="24" customFormat="false" ht="57" hidden="false" customHeight="true" outlineLevel="0" collapsed="false">
      <c r="B24" s="27" t="s">
        <v>136</v>
      </c>
      <c r="C24" s="28" t="str">
        <f aca="false">'RNF Accesibilidad'!C12</f>
        <v>Navegación por teclado</v>
      </c>
      <c r="D24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4" s="29" t="str">
        <f aca="false">'RNF Accesibilidad'!E12</f>
        <v>Alta</v>
      </c>
      <c r="F24" s="30" t="n">
        <f aca="false">'RNF Accesibilidad'!F12</f>
        <v>0</v>
      </c>
    </row>
    <row r="25" customFormat="false" ht="42" hidden="false" customHeight="true" outlineLevel="0" collapsed="false">
      <c r="B25" s="27" t="s">
        <v>137</v>
      </c>
      <c r="C25" s="28" t="str">
        <f aca="false">'RNF Accesibilidad'!C13</f>
        <v>Lenguaje claro</v>
      </c>
      <c r="D25" s="28" t="str">
        <f aca="false">'RNF Accesibilidad'!D13</f>
        <v>Textos en lenguaje claro y sin tecnicismos; los errores de formulario indican qué campo falla y cómo corregirlo.</v>
      </c>
      <c r="E25" s="29" t="str">
        <f aca="false">'RNF Accesibilidad'!E13</f>
        <v>Media</v>
      </c>
      <c r="F25" s="30" t="n">
        <f aca="false">'RNF Accesibilidad'!F13</f>
        <v>0</v>
      </c>
    </row>
    <row r="26" customFormat="false" ht="42" hidden="false" customHeight="true" outlineLevel="0" collapsed="false">
      <c r="B26" s="27" t="s">
        <v>138</v>
      </c>
      <c r="C26" s="28" t="str">
        <f aca="false">'RNF Accesibilidad'!C14</f>
        <v>Movimiento reducido</v>
      </c>
      <c r="D26" s="28" t="str">
        <f aca="false">'RNF Accesibilidad'!D14</f>
        <v>Se respeta la preferencia de «reducir movimiento» del sistema y no hay contenido parpadeante.</v>
      </c>
      <c r="E26" s="29" t="str">
        <f aca="false">'RNF Accesibilidad'!E14</f>
        <v>Baja</v>
      </c>
      <c r="F26" s="30" t="n">
        <f aca="false">'RNF Accesibilidad'!F14</f>
        <v>0</v>
      </c>
    </row>
    <row r="27" customFormat="false" ht="72" hidden="false" customHeight="true" outlineLevel="0" collapsed="false">
      <c r="B27" s="27" t="s">
        <v>200</v>
      </c>
      <c r="C27" s="28" t="str">
        <f aca="false">'RNF Privacidad'!C6</f>
        <v>Cumplimiento legal</v>
      </c>
      <c r="D27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27" s="29" t="str">
        <f aca="false">'RNF Privacidad'!E6</f>
        <v>Alta</v>
      </c>
      <c r="F27" s="30" t="n">
        <f aca="false">'RNF Privacidad'!F6</f>
        <v>0</v>
      </c>
    </row>
    <row r="28" customFormat="false" ht="42" hidden="false" customHeight="true" outlineLevel="0" collapsed="false">
      <c r="B28" s="27" t="s">
        <v>201</v>
      </c>
      <c r="C28" s="28" t="str">
        <f aca="false">'RNF Privacidad'!C7</f>
        <v>Minimización de datos</v>
      </c>
      <c r="D28" s="28" t="str">
        <f aca="false">'RNF Privacidad'!D7</f>
        <v>El sistema registra necesidades de ajuste y no diagnósticos, tipos de discapacidad ni documentos médicos.</v>
      </c>
      <c r="E28" s="29" t="str">
        <f aca="false">'RNF Privacidad'!E7</f>
        <v>Alta</v>
      </c>
      <c r="F28" s="30" t="n">
        <f aca="false">'RNF Privacidad'!F7</f>
        <v>0</v>
      </c>
    </row>
    <row r="29" customFormat="false" ht="57" hidden="false" customHeight="true" outlineLevel="0" collapsed="false">
      <c r="B29" s="27" t="s">
        <v>202</v>
      </c>
      <c r="C29" s="28" t="str">
        <f aca="false">'RNF Privacidad'!C8</f>
        <v>Control del candidato</v>
      </c>
      <c r="D29" s="28" t="str">
        <f aca="false">'RNF Privacidad'!D8</f>
        <v>Las necesidades de ajuste solo son visibles para el candidato y para las empresas a cuyas vacantes se postuló con consentimiento; el administrador solo ve datos agregados.</v>
      </c>
      <c r="E29" s="29" t="str">
        <f aca="false">'RNF Privacidad'!E8</f>
        <v>Alta</v>
      </c>
      <c r="F29" s="30" t="n">
        <f aca="false">'RNF Privacidad'!F8</f>
        <v>0</v>
      </c>
    </row>
    <row r="30" customFormat="false" ht="57" hidden="false" customHeight="true" outlineLevel="0" collapsed="false">
      <c r="B30" s="27" t="s">
        <v>203</v>
      </c>
      <c r="C30" s="28" t="str">
        <f aca="false">'RNF Privacidad'!C9</f>
        <v>Derechos ARCO</v>
      </c>
      <c r="D30" s="28" t="str">
        <f aca="false">'RNF Privacidad'!D9</f>
        <v>El candidato puede consultar, corregir y eliminar sus datos; la eliminación anonimiza sus postulaciones históricas en un plazo máximo de 30 días.</v>
      </c>
      <c r="E30" s="29" t="str">
        <f aca="false">'RNF Privacidad'!E9</f>
        <v>Alta</v>
      </c>
      <c r="F30" s="30" t="n">
        <f aca="false">'RNF Privacidad'!F9</f>
        <v>0</v>
      </c>
    </row>
    <row r="31" customFormat="false" ht="42" hidden="false" customHeight="true" outlineLevel="0" collapsed="false">
      <c r="B31" s="27" t="s">
        <v>204</v>
      </c>
      <c r="C31" s="28" t="str">
        <f aca="false">'RNF Privacidad'!C10</f>
        <v>Registros sin datos sensibles</v>
      </c>
      <c r="D31" s="28" t="str">
        <f aca="false">'RNF Privacidad'!D10</f>
        <v>Los logs del servidor y los mensajes push no incluyen necesidades de ajuste ni datos de contacto.</v>
      </c>
      <c r="E31" s="29" t="str">
        <f aca="false">'RNF Privacidad'!E10</f>
        <v>Alta</v>
      </c>
      <c r="F31" s="30" t="n">
        <f aca="false">'RNF Privacidad'!F10</f>
        <v>0</v>
      </c>
    </row>
    <row r="32" customFormat="false" ht="42" hidden="false" customHeight="true" outlineLevel="0" collapsed="false">
      <c r="B32" s="27" t="s">
        <v>139</v>
      </c>
      <c r="C32" s="28" t="str">
        <f aca="false">'RNF Operativas Móvil'!C6</f>
        <v>Desempeño</v>
      </c>
      <c r="D32" s="28" t="str">
        <f aca="false">'RNF Operativas Móvil'!D6</f>
        <v>Tiempo de respuesta de las pantallas ≤ 2 s en el percentil 95 sobre red 4G.</v>
      </c>
      <c r="E32" s="29" t="str">
        <f aca="false">'RNF Operativas Móvil'!E6</f>
        <v>Alta</v>
      </c>
      <c r="F32" s="30" t="n">
        <f aca="false">'RNF Operativas Móvil'!F6</f>
        <v>0</v>
      </c>
    </row>
    <row r="33" customFormat="false" ht="42" hidden="false" customHeight="true" outlineLevel="0" collapsed="false">
      <c r="B33" s="27" t="s">
        <v>140</v>
      </c>
      <c r="C33" s="28" t="str">
        <f aca="false">'RNF Operativas Móvil'!C7</f>
        <v>Compatibilidad</v>
      </c>
      <c r="D33" s="28" t="str">
        <f aca="false">'RNF Operativas Móvil'!D7</f>
        <v>Ejecutable en Android 8+ e iOS 15+ con un solo código base (React Native + Expo).</v>
      </c>
      <c r="E33" s="29" t="str">
        <f aca="false">'RNF Operativas Móvil'!E7</f>
        <v>Alta</v>
      </c>
      <c r="F33" s="30" t="n">
        <f aca="false">'RNF Operativas Móvil'!F7</f>
        <v>0</v>
      </c>
    </row>
    <row r="34" customFormat="false" ht="42" hidden="false" customHeight="true" outlineLevel="0" collapsed="false">
      <c r="B34" s="27" t="s">
        <v>141</v>
      </c>
      <c r="C34" s="28" t="str">
        <f aca="false">'RNF Operativas Móvil'!C8</f>
        <v>Retroalimentación</v>
      </c>
      <c r="D34" s="28" t="str">
        <f aca="false">'RNF Operativas Móvil'!D8</f>
        <v>Toda acción que tarde más de 300 ms muestra un indicador de carga anunciado al lector de pantalla.</v>
      </c>
      <c r="E34" s="29" t="str">
        <f aca="false">'RNF Operativas Móvil'!E8</f>
        <v>Media</v>
      </c>
      <c r="F34" s="30" t="n">
        <f aca="false">'RNF Operativas Móvil'!F8</f>
        <v>0</v>
      </c>
    </row>
    <row r="35" customFormat="false" ht="57" hidden="false" customHeight="true" outlineLevel="0" collapsed="false">
      <c r="B35" s="27" t="s">
        <v>142</v>
      </c>
      <c r="C35" s="28" t="str">
        <f aca="false">'RNF Operativas Móvil'!C9</f>
        <v>Tolerancia a fallas de red</v>
      </c>
      <c r="D35" s="28" t="str">
        <f aca="false">'RNF Operativas Móvil'!D9</f>
        <v>La app conserva en caché el último listado de vacantes y postulaciones y avisa cuando no hay conexión; los formularios no pierden lo capturado.</v>
      </c>
      <c r="E35" s="29" t="str">
        <f aca="false">'RNF Operativas Móvil'!E9</f>
        <v>Media</v>
      </c>
      <c r="F35" s="30" t="n">
        <f aca="false">'RNF Operativas Móvil'!F9</f>
        <v>0</v>
      </c>
    </row>
    <row r="36" customFormat="false" ht="30" hidden="false" customHeight="true" outlineLevel="0" collapsed="false">
      <c r="B36" s="27" t="s">
        <v>143</v>
      </c>
      <c r="C36" s="28" t="str">
        <f aca="false">'RNF Operativas Móvil'!C10</f>
        <v>Orientación</v>
      </c>
      <c r="D36" s="28" t="str">
        <f aca="false">'RNF Operativas Móvil'!D10</f>
        <v>Las pantallas funcionan en orientación vertical y horizontal.</v>
      </c>
      <c r="E36" s="29" t="str">
        <f aca="false">'RNF Operativas Móvil'!E10</f>
        <v>Baja</v>
      </c>
      <c r="F36" s="30" t="n">
        <f aca="false">'RNF Operativas Móvil'!F10</f>
        <v>0</v>
      </c>
    </row>
    <row r="37" customFormat="false" ht="42" hidden="false" customHeight="true" outlineLevel="0" collapsed="false">
      <c r="B37" s="27" t="s">
        <v>232</v>
      </c>
      <c r="C37" s="28" t="str">
        <f aca="false">'RNF Notificaciones'!C6</f>
        <v>Tiempo de entrega</v>
      </c>
      <c r="D37" s="28" t="str">
        <f aca="false">'RNF Notificaciones'!D6</f>
        <v>Las notificaciones push se envían en ≤ 1 min y los correos en ≤ 5 min tras el evento.</v>
      </c>
      <c r="E37" s="29" t="str">
        <f aca="false">'RNF Notificaciones'!E6</f>
        <v>Media</v>
      </c>
      <c r="F37" s="30" t="n">
        <f aca="false">'RNF Notificaciones'!F6</f>
        <v>0</v>
      </c>
    </row>
    <row r="38" customFormat="false" ht="42" hidden="false" customHeight="true" outlineLevel="0" collapsed="false">
      <c r="B38" s="27" t="s">
        <v>233</v>
      </c>
      <c r="C38" s="28" t="str">
        <f aca="false">'RNF Notificaciones'!C7</f>
        <v>Confiabilidad</v>
      </c>
      <c r="D38" s="28" t="str">
        <f aca="false">'RNF Notificaciones'!D7</f>
        <v>Los envíos fallidos se reintentan hasta 3 veces; el fallo de un canal no bloquea la operación que lo generó.</v>
      </c>
      <c r="E38" s="29" t="str">
        <f aca="false">'RNF Notificaciones'!E7</f>
        <v>Alta</v>
      </c>
      <c r="F38" s="30" t="n">
        <f aca="false">'RNF Notificaciones'!F7</f>
        <v>0</v>
      </c>
    </row>
    <row r="39" customFormat="false" ht="42" hidden="false" customHeight="true" outlineLevel="0" collapsed="false">
      <c r="B39" s="27" t="s">
        <v>234</v>
      </c>
      <c r="C39" s="28" t="str">
        <f aca="false">'RNF Notificaciones'!C8</f>
        <v>Correos accesibles</v>
      </c>
      <c r="D39" s="28" t="str">
        <f aca="false">'RNF Notificaciones'!D8</f>
        <v>Los correos incluyen versión en texto plano, estructura semántica y enlaces descriptivos.</v>
      </c>
      <c r="E39" s="29" t="str">
        <f aca="false">'RNF Notificaciones'!E8</f>
        <v>Media</v>
      </c>
      <c r="F39" s="30" t="n">
        <f aca="false">'RNF Notificaciones'!F8</f>
        <v>0</v>
      </c>
    </row>
    <row r="40" customFormat="false" ht="42" hidden="false" customHeight="true" outlineLevel="0" collapsed="false">
      <c r="B40" s="31" t="s">
        <v>235</v>
      </c>
      <c r="C40" s="32" t="str">
        <f aca="false">'RNF Notificaciones'!C9</f>
        <v>Contenido mínimo</v>
      </c>
      <c r="D40" s="32" t="str">
        <f aca="false">'RNF Notificaciones'!D9</f>
        <v>Las notificaciones push no incluyen datos personales sensibles; el detalle se consulta dentro de la app.</v>
      </c>
      <c r="E40" s="33" t="str">
        <f aca="false">'RNF Notificaciones'!E9</f>
        <v>Alta</v>
      </c>
      <c r="F40" s="34" t="n">
        <f aca="false">'RNF Notificaciones'!F9</f>
        <v>0</v>
      </c>
    </row>
    <row r="41" customFormat="false" ht="15" hidden="false" customHeight="false" outlineLevel="0" collapsed="false">
      <c r="B41" s="36" t="s">
        <v>144</v>
      </c>
    </row>
    <row r="44" customFormat="false" ht="15" hidden="false" customHeight="true" outlineLevel="0" collapsed="false">
      <c r="B44" s="37" t="s">
        <v>145</v>
      </c>
      <c r="C44" s="38" t="s">
        <v>146</v>
      </c>
      <c r="D44" s="38"/>
    </row>
    <row r="45" customFormat="false" ht="15" hidden="false" customHeight="true" outlineLevel="0" collapsed="false">
      <c r="B45" s="39" t="s">
        <v>147</v>
      </c>
      <c r="C45" s="40" t="s">
        <v>148</v>
      </c>
      <c r="D45" s="40"/>
    </row>
    <row r="46" customFormat="false" ht="15" hidden="false" customHeight="true" outlineLevel="0" collapsed="false">
      <c r="B46" s="39" t="s">
        <v>149</v>
      </c>
      <c r="C46" s="40" t="s">
        <v>406</v>
      </c>
      <c r="D46" s="40"/>
    </row>
    <row r="47" customFormat="false" ht="15" hidden="false" customHeight="true" outlineLevel="0" collapsed="false">
      <c r="B47" s="41" t="s">
        <v>151</v>
      </c>
      <c r="C47" s="42" t="s">
        <v>152</v>
      </c>
      <c r="D47" s="42"/>
    </row>
    <row r="50" customFormat="false" ht="15" hidden="false" customHeight="false" outlineLevel="0" collapsed="false">
      <c r="B50" s="43" t="s">
        <v>153</v>
      </c>
      <c r="C50" s="43"/>
    </row>
    <row r="51" customFormat="false" ht="15" hidden="false" customHeight="false" outlineLevel="0" collapsed="false">
      <c r="B51" s="44" t="s">
        <v>154</v>
      </c>
      <c r="C51" s="45" t="s">
        <v>155</v>
      </c>
    </row>
    <row r="52" customFormat="false" ht="15" hidden="false" customHeight="false" outlineLevel="0" collapsed="false">
      <c r="B52" s="46" t="s">
        <v>156</v>
      </c>
      <c r="C52" s="45" t="s">
        <v>157</v>
      </c>
    </row>
    <row r="53" customFormat="false" ht="15" hidden="false" customHeight="false" outlineLevel="0" collapsed="false">
      <c r="B53" s="47" t="s">
        <v>158</v>
      </c>
      <c r="C53" s="48" t="s">
        <v>159</v>
      </c>
    </row>
    <row r="56" customFormat="false" ht="30" hidden="false" customHeight="true" outlineLevel="0" collapsed="false">
      <c r="B56" s="49" t="s">
        <v>160</v>
      </c>
      <c r="C56" s="50"/>
      <c r="D56" s="50"/>
    </row>
  </sheetData>
  <mergeCells count="10">
    <mergeCell ref="B3:F3"/>
    <mergeCell ref="B4:F4"/>
    <mergeCell ref="B15:F15"/>
    <mergeCell ref="B16:F16"/>
    <mergeCell ref="C44:D44"/>
    <mergeCell ref="C45:D45"/>
    <mergeCell ref="C46:D46"/>
    <mergeCell ref="C47:D47"/>
    <mergeCell ref="B50:C50"/>
    <mergeCell ref="C56:D56"/>
  </mergeCells>
  <conditionalFormatting sqref="F6:F12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8:F40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2" type="decimal">
      <formula1>0</formula1>
      <formula2>1</formula2>
    </dataValidation>
    <dataValidation allowBlank="false" errorStyle="stop" operator="between" showDropDown="false" showErrorMessage="false" showInputMessage="false" sqref="E6:E12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407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72" hidden="false" customHeight="true" outlineLevel="0" collapsed="false">
      <c r="B6" s="27" t="s">
        <v>120</v>
      </c>
      <c r="C6" s="28" t="s">
        <v>408</v>
      </c>
      <c r="D6" s="28" t="s">
        <v>409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410</v>
      </c>
      <c r="D7" s="28" t="s">
        <v>411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412</v>
      </c>
      <c r="D8" s="28" t="s">
        <v>413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414</v>
      </c>
      <c r="D9" s="28" t="s">
        <v>415</v>
      </c>
      <c r="E9" s="29" t="s">
        <v>175</v>
      </c>
      <c r="F9" s="30" t="n">
        <v>0</v>
      </c>
    </row>
    <row r="10" customFormat="false" ht="42" hidden="false" customHeight="true" outlineLevel="0" collapsed="false">
      <c r="B10" s="31" t="s">
        <v>172</v>
      </c>
      <c r="C10" s="32" t="s">
        <v>416</v>
      </c>
      <c r="D10" s="32" t="s">
        <v>417</v>
      </c>
      <c r="E10" s="33" t="s">
        <v>175</v>
      </c>
      <c r="F10" s="34" t="n">
        <v>0</v>
      </c>
    </row>
    <row r="13" customFormat="false" ht="48.75" hidden="false" customHeight="true" outlineLevel="0" collapsed="false">
      <c r="B13" s="35" t="s">
        <v>127</v>
      </c>
      <c r="C13" s="35"/>
      <c r="D13" s="35"/>
      <c r="E13" s="35"/>
      <c r="F13" s="35"/>
    </row>
    <row r="14" customFormat="false" ht="48" hidden="false" customHeight="true" outlineLevel="0" collapsed="false">
      <c r="B14" s="23" t="s">
        <v>418</v>
      </c>
      <c r="C14" s="23"/>
      <c r="D14" s="23"/>
      <c r="E14" s="23"/>
      <c r="F14" s="23"/>
    </row>
    <row r="15" customFormat="false" ht="22.5" hidden="false" customHeight="true" outlineLevel="0" collapsed="false">
      <c r="B15" s="24" t="s">
        <v>116</v>
      </c>
      <c r="C15" s="25" t="s">
        <v>129</v>
      </c>
      <c r="D15" s="25" t="s">
        <v>118</v>
      </c>
      <c r="E15" s="25" t="s">
        <v>119</v>
      </c>
      <c r="F15" s="26" t="s">
        <v>75</v>
      </c>
    </row>
    <row r="16" customFormat="false" ht="42" hidden="false" customHeight="true" outlineLevel="0" collapsed="false">
      <c r="B16" s="27" t="s">
        <v>130</v>
      </c>
      <c r="C16" s="28" t="str">
        <f aca="false">'RNF Accesibilidad'!C6</f>
        <v>Estándar de accesibilidad</v>
      </c>
      <c r="D16" s="28" t="str">
        <f aca="false">'RNF Accesibilidad'!D6</f>
        <v>Las interfaces cumplen las pautas WCAG 2.1 nivel AA.</v>
      </c>
      <c r="E16" s="29" t="str">
        <f aca="false">'RNF Accesibilidad'!E6</f>
        <v>Alta</v>
      </c>
      <c r="F16" s="30" t="n">
        <f aca="false">'RNF Accesibilidad'!F6</f>
        <v>0</v>
      </c>
    </row>
    <row r="17" customFormat="false" ht="72" hidden="false" customHeight="true" outlineLevel="0" collapsed="false">
      <c r="B17" s="27" t="s">
        <v>131</v>
      </c>
      <c r="C17" s="28" t="str">
        <f aca="false">'RNF Accesibilidad'!C7</f>
        <v>Lectores de pantalla</v>
      </c>
      <c r="D17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7" s="29" t="str">
        <f aca="false">'RNF Accesibilidad'!E7</f>
        <v>Alta</v>
      </c>
      <c r="F17" s="30" t="n">
        <f aca="false">'RNF Accesibilidad'!F7</f>
        <v>0</v>
      </c>
    </row>
    <row r="18" customFormat="false" ht="42" hidden="false" customHeight="true" outlineLevel="0" collapsed="false">
      <c r="B18" s="27" t="s">
        <v>132</v>
      </c>
      <c r="C18" s="28" t="str">
        <f aca="false">'RNF Accesibilidad'!C8</f>
        <v>Contraste</v>
      </c>
      <c r="D18" s="28" t="str">
        <f aca="false">'RNF Accesibilidad'!D8</f>
        <v>Contraste mínimo de 4.5:1 para texto normal y 3:1 para texto grande y componentes de interfaz.</v>
      </c>
      <c r="E18" s="29" t="str">
        <f aca="false">'RNF Accesibilidad'!E8</f>
        <v>Alta</v>
      </c>
      <c r="F18" s="30" t="n">
        <f aca="false">'RNF Accesibilidad'!F8</f>
        <v>0</v>
      </c>
    </row>
    <row r="19" customFormat="false" ht="57" hidden="false" customHeight="true" outlineLevel="0" collapsed="false">
      <c r="B19" s="27" t="s">
        <v>133</v>
      </c>
      <c r="C19" s="28" t="str">
        <f aca="false">'RNF Accesibilidad'!C9</f>
        <v>Texto escalable</v>
      </c>
      <c r="D19" s="28" t="str">
        <f aca="false">'RNF Accesibilidad'!D9</f>
        <v>La interfaz respeta el tamaño de fuente del sistema y admite hasta 200 % de ampliación sin pérdida de contenido ni funcionalidad.</v>
      </c>
      <c r="E19" s="29" t="str">
        <f aca="false">'RNF Accesibilidad'!E9</f>
        <v>Alta</v>
      </c>
      <c r="F19" s="30" t="n">
        <f aca="false">'RNF Accesibilidad'!F9</f>
        <v>0</v>
      </c>
    </row>
    <row r="20" customFormat="false" ht="42" hidden="false" customHeight="true" outlineLevel="0" collapsed="false">
      <c r="B20" s="27" t="s">
        <v>134</v>
      </c>
      <c r="C20" s="28" t="str">
        <f aca="false">'RNF Accesibilidad'!C10</f>
        <v>Áreas táctiles</v>
      </c>
      <c r="D20" s="28" t="str">
        <f aca="false">'RNF Accesibilidad'!D10</f>
        <v>Los componentes táctiles tienen un área mínima de 48 × 48 dp en Android y 44 × 44 pt en iOS.</v>
      </c>
      <c r="E20" s="29" t="str">
        <f aca="false">'RNF Accesibilidad'!E10</f>
        <v>Alta</v>
      </c>
      <c r="F20" s="30" t="n">
        <f aca="false">'RNF Accesibilidad'!F10</f>
        <v>0</v>
      </c>
    </row>
    <row r="21" customFormat="false" ht="42" hidden="false" customHeight="true" outlineLevel="0" collapsed="false">
      <c r="B21" s="27" t="s">
        <v>135</v>
      </c>
      <c r="C21" s="28" t="str">
        <f aca="false">'RNF Accesibilidad'!C11</f>
        <v>Información no dependiente del color</v>
      </c>
      <c r="D21" s="28" t="str">
        <f aca="false">'RNF Accesibilidad'!D11</f>
        <v>Estados, errores y porcentajes se comunican con texto o ícono además del color.</v>
      </c>
      <c r="E21" s="29" t="str">
        <f aca="false">'RNF Accesibilidad'!E11</f>
        <v>Alta</v>
      </c>
      <c r="F21" s="30" t="n">
        <f aca="false">'RNF Accesibilidad'!F11</f>
        <v>0</v>
      </c>
    </row>
    <row r="22" customFormat="false" ht="57" hidden="false" customHeight="true" outlineLevel="0" collapsed="false">
      <c r="B22" s="27" t="s">
        <v>136</v>
      </c>
      <c r="C22" s="28" t="str">
        <f aca="false">'RNF Accesibilidad'!C12</f>
        <v>Navegación por teclado</v>
      </c>
      <c r="D22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2" s="29" t="str">
        <f aca="false">'RNF Accesibilidad'!E12</f>
        <v>Alta</v>
      </c>
      <c r="F22" s="30" t="n">
        <f aca="false">'RNF Accesibilidad'!F12</f>
        <v>0</v>
      </c>
    </row>
    <row r="23" customFormat="false" ht="42" hidden="false" customHeight="true" outlineLevel="0" collapsed="false">
      <c r="B23" s="27" t="s">
        <v>137</v>
      </c>
      <c r="C23" s="28" t="str">
        <f aca="false">'RNF Accesibilidad'!C13</f>
        <v>Lenguaje claro</v>
      </c>
      <c r="D23" s="28" t="str">
        <f aca="false">'RNF Accesibilidad'!D13</f>
        <v>Textos en lenguaje claro y sin tecnicismos; los errores de formulario indican qué campo falla y cómo corregirlo.</v>
      </c>
      <c r="E23" s="29" t="str">
        <f aca="false">'RNF Accesibilidad'!E13</f>
        <v>Media</v>
      </c>
      <c r="F23" s="30" t="n">
        <f aca="false">'RNF Accesibilidad'!F13</f>
        <v>0</v>
      </c>
    </row>
    <row r="24" customFormat="false" ht="42" hidden="false" customHeight="true" outlineLevel="0" collapsed="false">
      <c r="B24" s="27" t="s">
        <v>138</v>
      </c>
      <c r="C24" s="28" t="str">
        <f aca="false">'RNF Accesibilidad'!C14</f>
        <v>Movimiento reducido</v>
      </c>
      <c r="D24" s="28" t="str">
        <f aca="false">'RNF Accesibilidad'!D14</f>
        <v>Se respeta la preferencia de «reducir movimiento» del sistema y no hay contenido parpadeante.</v>
      </c>
      <c r="E24" s="29" t="str">
        <f aca="false">'RNF Accesibilidad'!E14</f>
        <v>Baja</v>
      </c>
      <c r="F24" s="30" t="n">
        <f aca="false">'RNF Accesibilidad'!F14</f>
        <v>0</v>
      </c>
    </row>
    <row r="25" customFormat="false" ht="42" hidden="false" customHeight="true" outlineLevel="0" collapsed="false">
      <c r="B25" s="27" t="s">
        <v>139</v>
      </c>
      <c r="C25" s="28" t="str">
        <f aca="false">'RNF Operativas Móvil'!C6</f>
        <v>Desempeño</v>
      </c>
      <c r="D25" s="28" t="str">
        <f aca="false">'RNF Operativas Móvil'!D6</f>
        <v>Tiempo de respuesta de las pantallas ≤ 2 s en el percentil 95 sobre red 4G.</v>
      </c>
      <c r="E25" s="29" t="str">
        <f aca="false">'RNF Operativas Móvil'!E6</f>
        <v>Alta</v>
      </c>
      <c r="F25" s="30" t="n">
        <f aca="false">'RNF Operativas Móvil'!F6</f>
        <v>0</v>
      </c>
    </row>
    <row r="26" customFormat="false" ht="42" hidden="false" customHeight="true" outlineLevel="0" collapsed="false">
      <c r="B26" s="27" t="s">
        <v>140</v>
      </c>
      <c r="C26" s="28" t="str">
        <f aca="false">'RNF Operativas Móvil'!C7</f>
        <v>Compatibilidad</v>
      </c>
      <c r="D26" s="28" t="str">
        <f aca="false">'RNF Operativas Móvil'!D7</f>
        <v>Ejecutable en Android 8+ e iOS 15+ con un solo código base (React Native + Expo).</v>
      </c>
      <c r="E26" s="29" t="str">
        <f aca="false">'RNF Operativas Móvil'!E7</f>
        <v>Alta</v>
      </c>
      <c r="F26" s="30" t="n">
        <f aca="false">'RNF Operativas Móvil'!F7</f>
        <v>0</v>
      </c>
    </row>
    <row r="27" customFormat="false" ht="42" hidden="false" customHeight="true" outlineLevel="0" collapsed="false">
      <c r="B27" s="27" t="s">
        <v>141</v>
      </c>
      <c r="C27" s="28" t="str">
        <f aca="false">'RNF Operativas Móvil'!C8</f>
        <v>Retroalimentación</v>
      </c>
      <c r="D27" s="28" t="str">
        <f aca="false">'RNF Operativas Móvil'!D8</f>
        <v>Toda acción que tarde más de 300 ms muestra un indicador de carga anunciado al lector de pantalla.</v>
      </c>
      <c r="E27" s="29" t="str">
        <f aca="false">'RNF Operativas Móvil'!E8</f>
        <v>Media</v>
      </c>
      <c r="F27" s="30" t="n">
        <f aca="false">'RNF Operativas Móvil'!F8</f>
        <v>0</v>
      </c>
    </row>
    <row r="28" customFormat="false" ht="57" hidden="false" customHeight="true" outlineLevel="0" collapsed="false">
      <c r="B28" s="27" t="s">
        <v>142</v>
      </c>
      <c r="C28" s="28" t="str">
        <f aca="false">'RNF Operativas Móvil'!C9</f>
        <v>Tolerancia a fallas de red</v>
      </c>
      <c r="D28" s="28" t="str">
        <f aca="false">'RNF Operativas Móvil'!D9</f>
        <v>La app conserva en caché el último listado de vacantes y postulaciones y avisa cuando no hay conexión; los formularios no pierden lo capturado.</v>
      </c>
      <c r="E28" s="29" t="str">
        <f aca="false">'RNF Operativas Móvil'!E9</f>
        <v>Media</v>
      </c>
      <c r="F28" s="30" t="n">
        <f aca="false">'RNF Operativas Móvil'!F9</f>
        <v>0</v>
      </c>
    </row>
    <row r="29" customFormat="false" ht="30" hidden="false" customHeight="true" outlineLevel="0" collapsed="false">
      <c r="B29" s="27" t="s">
        <v>143</v>
      </c>
      <c r="C29" s="28" t="str">
        <f aca="false">'RNF Operativas Móvil'!C10</f>
        <v>Orientación</v>
      </c>
      <c r="D29" s="28" t="str">
        <f aca="false">'RNF Operativas Móvil'!D10</f>
        <v>Las pantallas funcionan en orientación vertical y horizontal.</v>
      </c>
      <c r="E29" s="29" t="str">
        <f aca="false">'RNF Operativas Móvil'!E10</f>
        <v>Baja</v>
      </c>
      <c r="F29" s="30" t="n">
        <f aca="false">'RNF Operativas Móvil'!F10</f>
        <v>0</v>
      </c>
    </row>
    <row r="30" customFormat="false" ht="42" hidden="false" customHeight="true" outlineLevel="0" collapsed="false">
      <c r="B30" s="27" t="s">
        <v>232</v>
      </c>
      <c r="C30" s="28" t="str">
        <f aca="false">'RNF Notificaciones'!C6</f>
        <v>Tiempo de entrega</v>
      </c>
      <c r="D30" s="28" t="str">
        <f aca="false">'RNF Notificaciones'!D6</f>
        <v>Las notificaciones push se envían en ≤ 1 min y los correos en ≤ 5 min tras el evento.</v>
      </c>
      <c r="E30" s="29" t="str">
        <f aca="false">'RNF Notificaciones'!E6</f>
        <v>Media</v>
      </c>
      <c r="F30" s="30" t="n">
        <f aca="false">'RNF Notificaciones'!F6</f>
        <v>0</v>
      </c>
    </row>
    <row r="31" customFormat="false" ht="42" hidden="false" customHeight="true" outlineLevel="0" collapsed="false">
      <c r="B31" s="27" t="s">
        <v>233</v>
      </c>
      <c r="C31" s="28" t="str">
        <f aca="false">'RNF Notificaciones'!C7</f>
        <v>Confiabilidad</v>
      </c>
      <c r="D31" s="28" t="str">
        <f aca="false">'RNF Notificaciones'!D7</f>
        <v>Los envíos fallidos se reintentan hasta 3 veces; el fallo de un canal no bloquea la operación que lo generó.</v>
      </c>
      <c r="E31" s="29" t="str">
        <f aca="false">'RNF Notificaciones'!E7</f>
        <v>Alta</v>
      </c>
      <c r="F31" s="30" t="n">
        <f aca="false">'RNF Notificaciones'!F7</f>
        <v>0</v>
      </c>
    </row>
    <row r="32" customFormat="false" ht="42" hidden="false" customHeight="true" outlineLevel="0" collapsed="false">
      <c r="B32" s="27" t="s">
        <v>234</v>
      </c>
      <c r="C32" s="28" t="str">
        <f aca="false">'RNF Notificaciones'!C8</f>
        <v>Correos accesibles</v>
      </c>
      <c r="D32" s="28" t="str">
        <f aca="false">'RNF Notificaciones'!D8</f>
        <v>Los correos incluyen versión en texto plano, estructura semántica y enlaces descriptivos.</v>
      </c>
      <c r="E32" s="29" t="str">
        <f aca="false">'RNF Notificaciones'!E8</f>
        <v>Media</v>
      </c>
      <c r="F32" s="30" t="n">
        <f aca="false">'RNF Notificaciones'!F8</f>
        <v>0</v>
      </c>
    </row>
    <row r="33" customFormat="false" ht="42" hidden="false" customHeight="true" outlineLevel="0" collapsed="false">
      <c r="B33" s="31" t="s">
        <v>235</v>
      </c>
      <c r="C33" s="32" t="str">
        <f aca="false">'RNF Notificaciones'!C9</f>
        <v>Contenido mínimo</v>
      </c>
      <c r="D33" s="32" t="str">
        <f aca="false">'RNF Notificaciones'!D9</f>
        <v>Las notificaciones push no incluyen datos personales sensibles; el detalle se consulta dentro de la app.</v>
      </c>
      <c r="E33" s="33" t="str">
        <f aca="false">'RNF Notificaciones'!E9</f>
        <v>Alta</v>
      </c>
      <c r="F33" s="34" t="n">
        <f aca="false">'RNF Notificaciones'!F9</f>
        <v>0</v>
      </c>
    </row>
    <row r="34" customFormat="false" ht="15" hidden="false" customHeight="false" outlineLevel="0" collapsed="false">
      <c r="B34" s="36" t="s">
        <v>144</v>
      </c>
    </row>
    <row r="37" customFormat="false" ht="15" hidden="false" customHeight="true" outlineLevel="0" collapsed="false">
      <c r="B37" s="37" t="s">
        <v>145</v>
      </c>
      <c r="C37" s="38" t="s">
        <v>146</v>
      </c>
      <c r="D37" s="38"/>
    </row>
    <row r="38" customFormat="false" ht="15" hidden="false" customHeight="true" outlineLevel="0" collapsed="false">
      <c r="B38" s="39" t="s">
        <v>147</v>
      </c>
      <c r="C38" s="40" t="s">
        <v>148</v>
      </c>
      <c r="D38" s="40"/>
    </row>
    <row r="39" customFormat="false" ht="15" hidden="false" customHeight="true" outlineLevel="0" collapsed="false">
      <c r="B39" s="39" t="s">
        <v>149</v>
      </c>
      <c r="C39" s="40" t="s">
        <v>419</v>
      </c>
      <c r="D39" s="40"/>
    </row>
    <row r="40" customFormat="false" ht="15" hidden="false" customHeight="true" outlineLevel="0" collapsed="false">
      <c r="B40" s="41" t="s">
        <v>151</v>
      </c>
      <c r="C40" s="42" t="s">
        <v>152</v>
      </c>
      <c r="D40" s="42"/>
    </row>
    <row r="43" customFormat="false" ht="15" hidden="false" customHeight="false" outlineLevel="0" collapsed="false">
      <c r="B43" s="43" t="s">
        <v>153</v>
      </c>
      <c r="C43" s="43"/>
    </row>
    <row r="44" customFormat="false" ht="15" hidden="false" customHeight="false" outlineLevel="0" collapsed="false">
      <c r="B44" s="44" t="s">
        <v>154</v>
      </c>
      <c r="C44" s="45" t="s">
        <v>155</v>
      </c>
    </row>
    <row r="45" customFormat="false" ht="15" hidden="false" customHeight="false" outlineLevel="0" collapsed="false">
      <c r="B45" s="46" t="s">
        <v>156</v>
      </c>
      <c r="C45" s="45" t="s">
        <v>157</v>
      </c>
    </row>
    <row r="46" customFormat="false" ht="15" hidden="false" customHeight="false" outlineLevel="0" collapsed="false">
      <c r="B46" s="47" t="s">
        <v>158</v>
      </c>
      <c r="C46" s="48" t="s">
        <v>159</v>
      </c>
    </row>
    <row r="49" customFormat="false" ht="30" hidden="false" customHeight="true" outlineLevel="0" collapsed="false">
      <c r="B49" s="49" t="s">
        <v>160</v>
      </c>
      <c r="C49" s="50"/>
      <c r="D49" s="50"/>
    </row>
  </sheetData>
  <mergeCells count="10">
    <mergeCell ref="B3:F3"/>
    <mergeCell ref="B4:F4"/>
    <mergeCell ref="B13:F13"/>
    <mergeCell ref="B14:F14"/>
    <mergeCell ref="C37:D37"/>
    <mergeCell ref="C38:D38"/>
    <mergeCell ref="C39:D39"/>
    <mergeCell ref="C40:D40"/>
    <mergeCell ref="B43:C43"/>
    <mergeCell ref="C49:D49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6:F33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420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162</v>
      </c>
      <c r="D6" s="28" t="s">
        <v>421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124</v>
      </c>
      <c r="C7" s="28" t="s">
        <v>164</v>
      </c>
      <c r="D7" s="28" t="s">
        <v>422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423</v>
      </c>
      <c r="D8" s="28" t="s">
        <v>424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425</v>
      </c>
      <c r="D9" s="28" t="s">
        <v>426</v>
      </c>
      <c r="E9" s="29" t="s">
        <v>175</v>
      </c>
      <c r="F9" s="30" t="n">
        <v>0</v>
      </c>
    </row>
    <row r="10" customFormat="false" ht="42" hidden="false" customHeight="true" outlineLevel="0" collapsed="false">
      <c r="B10" s="31" t="s">
        <v>172</v>
      </c>
      <c r="C10" s="32" t="s">
        <v>427</v>
      </c>
      <c r="D10" s="32" t="s">
        <v>428</v>
      </c>
      <c r="E10" s="33" t="s">
        <v>123</v>
      </c>
      <c r="F10" s="34" t="n">
        <v>0</v>
      </c>
    </row>
    <row r="13" customFormat="false" ht="48.75" hidden="false" customHeight="true" outlineLevel="0" collapsed="false">
      <c r="B13" s="35" t="s">
        <v>127</v>
      </c>
      <c r="C13" s="35"/>
      <c r="D13" s="35"/>
      <c r="E13" s="35"/>
      <c r="F13" s="35"/>
    </row>
    <row r="14" customFormat="false" ht="48" hidden="false" customHeight="true" outlineLevel="0" collapsed="false">
      <c r="B14" s="23" t="s">
        <v>429</v>
      </c>
      <c r="C14" s="23"/>
      <c r="D14" s="23"/>
      <c r="E14" s="23"/>
      <c r="F14" s="23"/>
    </row>
    <row r="15" customFormat="false" ht="22.5" hidden="false" customHeight="true" outlineLevel="0" collapsed="false">
      <c r="B15" s="24" t="s">
        <v>116</v>
      </c>
      <c r="C15" s="25" t="s">
        <v>129</v>
      </c>
      <c r="D15" s="25" t="s">
        <v>118</v>
      </c>
      <c r="E15" s="25" t="s">
        <v>119</v>
      </c>
      <c r="F15" s="26" t="s">
        <v>75</v>
      </c>
    </row>
    <row r="16" customFormat="false" ht="42" hidden="false" customHeight="true" outlineLevel="0" collapsed="false">
      <c r="B16" s="27" t="s">
        <v>130</v>
      </c>
      <c r="C16" s="28" t="str">
        <f aca="false">'RNF Accesibilidad'!C6</f>
        <v>Estándar de accesibilidad</v>
      </c>
      <c r="D16" s="28" t="str">
        <f aca="false">'RNF Accesibilidad'!D6</f>
        <v>Las interfaces cumplen las pautas WCAG 2.1 nivel AA.</v>
      </c>
      <c r="E16" s="29" t="str">
        <f aca="false">'RNF Accesibilidad'!E6</f>
        <v>Alta</v>
      </c>
      <c r="F16" s="30" t="n">
        <f aca="false">'RNF Accesibilidad'!F6</f>
        <v>0</v>
      </c>
    </row>
    <row r="17" customFormat="false" ht="72" hidden="false" customHeight="true" outlineLevel="0" collapsed="false">
      <c r="B17" s="27" t="s">
        <v>131</v>
      </c>
      <c r="C17" s="28" t="str">
        <f aca="false">'RNF Accesibilidad'!C7</f>
        <v>Lectores de pantalla</v>
      </c>
      <c r="D17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7" s="29" t="str">
        <f aca="false">'RNF Accesibilidad'!E7</f>
        <v>Alta</v>
      </c>
      <c r="F17" s="30" t="n">
        <f aca="false">'RNF Accesibilidad'!F7</f>
        <v>0</v>
      </c>
    </row>
    <row r="18" customFormat="false" ht="42" hidden="false" customHeight="true" outlineLevel="0" collapsed="false">
      <c r="B18" s="27" t="s">
        <v>132</v>
      </c>
      <c r="C18" s="28" t="str">
        <f aca="false">'RNF Accesibilidad'!C8</f>
        <v>Contraste</v>
      </c>
      <c r="D18" s="28" t="str">
        <f aca="false">'RNF Accesibilidad'!D8</f>
        <v>Contraste mínimo de 4.5:1 para texto normal y 3:1 para texto grande y componentes de interfaz.</v>
      </c>
      <c r="E18" s="29" t="str">
        <f aca="false">'RNF Accesibilidad'!E8</f>
        <v>Alta</v>
      </c>
      <c r="F18" s="30" t="n">
        <f aca="false">'RNF Accesibilidad'!F8</f>
        <v>0</v>
      </c>
    </row>
    <row r="19" customFormat="false" ht="57" hidden="false" customHeight="true" outlineLevel="0" collapsed="false">
      <c r="B19" s="27" t="s">
        <v>133</v>
      </c>
      <c r="C19" s="28" t="str">
        <f aca="false">'RNF Accesibilidad'!C9</f>
        <v>Texto escalable</v>
      </c>
      <c r="D19" s="28" t="str">
        <f aca="false">'RNF Accesibilidad'!D9</f>
        <v>La interfaz respeta el tamaño de fuente del sistema y admite hasta 200 % de ampliación sin pérdida de contenido ni funcionalidad.</v>
      </c>
      <c r="E19" s="29" t="str">
        <f aca="false">'RNF Accesibilidad'!E9</f>
        <v>Alta</v>
      </c>
      <c r="F19" s="30" t="n">
        <f aca="false">'RNF Accesibilidad'!F9</f>
        <v>0</v>
      </c>
    </row>
    <row r="20" customFormat="false" ht="42" hidden="false" customHeight="true" outlineLevel="0" collapsed="false">
      <c r="B20" s="27" t="s">
        <v>134</v>
      </c>
      <c r="C20" s="28" t="str">
        <f aca="false">'RNF Accesibilidad'!C10</f>
        <v>Áreas táctiles</v>
      </c>
      <c r="D20" s="28" t="str">
        <f aca="false">'RNF Accesibilidad'!D10</f>
        <v>Los componentes táctiles tienen un área mínima de 48 × 48 dp en Android y 44 × 44 pt en iOS.</v>
      </c>
      <c r="E20" s="29" t="str">
        <f aca="false">'RNF Accesibilidad'!E10</f>
        <v>Alta</v>
      </c>
      <c r="F20" s="30" t="n">
        <f aca="false">'RNF Accesibilidad'!F10</f>
        <v>0</v>
      </c>
    </row>
    <row r="21" customFormat="false" ht="42" hidden="false" customHeight="true" outlineLevel="0" collapsed="false">
      <c r="B21" s="27" t="s">
        <v>135</v>
      </c>
      <c r="C21" s="28" t="str">
        <f aca="false">'RNF Accesibilidad'!C11</f>
        <v>Información no dependiente del color</v>
      </c>
      <c r="D21" s="28" t="str">
        <f aca="false">'RNF Accesibilidad'!D11</f>
        <v>Estados, errores y porcentajes se comunican con texto o ícono además del color.</v>
      </c>
      <c r="E21" s="29" t="str">
        <f aca="false">'RNF Accesibilidad'!E11</f>
        <v>Alta</v>
      </c>
      <c r="F21" s="30" t="n">
        <f aca="false">'RNF Accesibilidad'!F11</f>
        <v>0</v>
      </c>
    </row>
    <row r="22" customFormat="false" ht="57" hidden="false" customHeight="true" outlineLevel="0" collapsed="false">
      <c r="B22" s="27" t="s">
        <v>136</v>
      </c>
      <c r="C22" s="28" t="str">
        <f aca="false">'RNF Accesibilidad'!C12</f>
        <v>Navegación por teclado</v>
      </c>
      <c r="D22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2" s="29" t="str">
        <f aca="false">'RNF Accesibilidad'!E12</f>
        <v>Alta</v>
      </c>
      <c r="F22" s="30" t="n">
        <f aca="false">'RNF Accesibilidad'!F12</f>
        <v>0</v>
      </c>
    </row>
    <row r="23" customFormat="false" ht="42" hidden="false" customHeight="true" outlineLevel="0" collapsed="false">
      <c r="B23" s="27" t="s">
        <v>137</v>
      </c>
      <c r="C23" s="28" t="str">
        <f aca="false">'RNF Accesibilidad'!C13</f>
        <v>Lenguaje claro</v>
      </c>
      <c r="D23" s="28" t="str">
        <f aca="false">'RNF Accesibilidad'!D13</f>
        <v>Textos en lenguaje claro y sin tecnicismos; los errores de formulario indican qué campo falla y cómo corregirlo.</v>
      </c>
      <c r="E23" s="29" t="str">
        <f aca="false">'RNF Accesibilidad'!E13</f>
        <v>Media</v>
      </c>
      <c r="F23" s="30" t="n">
        <f aca="false">'RNF Accesibilidad'!F13</f>
        <v>0</v>
      </c>
    </row>
    <row r="24" customFormat="false" ht="42" hidden="false" customHeight="true" outlineLevel="0" collapsed="false">
      <c r="B24" s="27" t="s">
        <v>138</v>
      </c>
      <c r="C24" s="28" t="str">
        <f aca="false">'RNF Accesibilidad'!C14</f>
        <v>Movimiento reducido</v>
      </c>
      <c r="D24" s="28" t="str">
        <f aca="false">'RNF Accesibilidad'!D14</f>
        <v>Se respeta la preferencia de «reducir movimiento» del sistema y no hay contenido parpadeante.</v>
      </c>
      <c r="E24" s="29" t="str">
        <f aca="false">'RNF Accesibilidad'!E14</f>
        <v>Baja</v>
      </c>
      <c r="F24" s="30" t="n">
        <f aca="false">'RNF Accesibilidad'!F14</f>
        <v>0</v>
      </c>
    </row>
    <row r="25" customFormat="false" ht="42" hidden="false" customHeight="true" outlineLevel="0" collapsed="false">
      <c r="B25" s="27" t="s">
        <v>177</v>
      </c>
      <c r="C25" s="28" t="str">
        <f aca="false">'RNF Autenticación'!C6</f>
        <v>Seguridad — contraseñas</v>
      </c>
      <c r="D25" s="28" t="str">
        <f aca="false">'RNF Autenticación'!D6</f>
        <v>Las contraseñas se almacenan únicamente como hash bcrypt (cost ≥ 10); nunca en texto plano ni en registros.</v>
      </c>
      <c r="E25" s="29" t="str">
        <f aca="false">'RNF Autenticación'!E6</f>
        <v>Alta</v>
      </c>
      <c r="F25" s="30" t="n">
        <f aca="false">'RNF Autenticación'!F6</f>
        <v>0</v>
      </c>
    </row>
    <row r="26" customFormat="false" ht="57" hidden="false" customHeight="true" outlineLevel="0" collapsed="false">
      <c r="B26" s="27" t="s">
        <v>178</v>
      </c>
      <c r="C26" s="28" t="str">
        <f aca="false">'RNF Autenticación'!C7</f>
        <v>Seguridad — tokens</v>
      </c>
      <c r="D26" s="28" t="str">
        <f aca="false">'RNF Autenticación'!D7</f>
        <v>JWT firmado HS256 con expiración de 8 h; transporte HTTPS obligatorio; almacenamiento en expo-secure-store (móvil) y en la sesión del servidor Laravel (web).</v>
      </c>
      <c r="E26" s="29" t="str">
        <f aca="false">'RNF Autenticación'!E7</f>
        <v>Alta</v>
      </c>
      <c r="F26" s="30" t="n">
        <f aca="false">'RNF Autenticación'!F7</f>
        <v>0</v>
      </c>
    </row>
    <row r="27" customFormat="false" ht="42" hidden="false" customHeight="true" outlineLevel="0" collapsed="false">
      <c r="B27" s="27" t="s">
        <v>179</v>
      </c>
      <c r="C27" s="28" t="str">
        <f aca="false">'RNF Autenticación'!C8</f>
        <v>Protección contra fuerza bruta</v>
      </c>
      <c r="D27" s="28" t="str">
        <f aca="false">'RNF Autenticación'!D8</f>
        <v>Bloqueo temporal de 15 minutos tras 5 intentos fallidos consecutivos por cuenta o por IP.</v>
      </c>
      <c r="E27" s="29" t="str">
        <f aca="false">'RNF Autenticación'!E8</f>
        <v>Alta</v>
      </c>
      <c r="F27" s="30" t="n">
        <f aca="false">'RNF Autenticación'!F8</f>
        <v>0</v>
      </c>
    </row>
    <row r="28" customFormat="false" ht="42" hidden="false" customHeight="true" outlineLevel="0" collapsed="false">
      <c r="B28" s="27" t="s">
        <v>180</v>
      </c>
      <c r="C28" s="28" t="str">
        <f aca="false">'RNF Autenticación'!C9</f>
        <v>Mensajes neutros</v>
      </c>
      <c r="D28" s="28" t="str">
        <f aca="false">'RNF Autenticación'!D9</f>
        <v>Los mensajes de error no revelan si un correo existe en el sistema.</v>
      </c>
      <c r="E28" s="29" t="str">
        <f aca="false">'RNF Autenticación'!E9</f>
        <v>Media</v>
      </c>
      <c r="F28" s="30" t="n">
        <f aca="false">'RNF Autenticación'!F9</f>
        <v>0</v>
      </c>
    </row>
    <row r="29" customFormat="false" ht="30" hidden="false" customHeight="true" outlineLevel="0" collapsed="false">
      <c r="B29" s="31" t="s">
        <v>181</v>
      </c>
      <c r="C29" s="32" t="str">
        <f aca="false">'RNF Autenticación'!C10</f>
        <v>Desempeño</v>
      </c>
      <c r="D29" s="32" t="str">
        <f aca="false">'RNF Autenticación'!D10</f>
        <v>El inicio de sesión responde en ≤ 1.5 s en el percentil 95.</v>
      </c>
      <c r="E29" s="33" t="str">
        <f aca="false">'RNF Autenticación'!E10</f>
        <v>Media</v>
      </c>
      <c r="F29" s="34" t="n">
        <f aca="false">'RNF Autenticación'!F10</f>
        <v>0</v>
      </c>
    </row>
    <row r="30" customFormat="false" ht="15" hidden="false" customHeight="false" outlineLevel="0" collapsed="false">
      <c r="B30" s="36" t="s">
        <v>144</v>
      </c>
    </row>
    <row r="33" customFormat="false" ht="15" hidden="false" customHeight="true" outlineLevel="0" collapsed="false">
      <c r="B33" s="37" t="s">
        <v>145</v>
      </c>
      <c r="C33" s="38" t="s">
        <v>146</v>
      </c>
      <c r="D33" s="38"/>
    </row>
    <row r="34" customFormat="false" ht="15" hidden="false" customHeight="true" outlineLevel="0" collapsed="false">
      <c r="B34" s="39" t="s">
        <v>147</v>
      </c>
      <c r="C34" s="40" t="s">
        <v>148</v>
      </c>
      <c r="D34" s="40"/>
    </row>
    <row r="35" customFormat="false" ht="15" hidden="false" customHeight="true" outlineLevel="0" collapsed="false">
      <c r="B35" s="39" t="s">
        <v>149</v>
      </c>
      <c r="C35" s="40" t="s">
        <v>430</v>
      </c>
      <c r="D35" s="40"/>
    </row>
    <row r="36" customFormat="false" ht="15" hidden="false" customHeight="true" outlineLevel="0" collapsed="false">
      <c r="B36" s="41" t="s">
        <v>151</v>
      </c>
      <c r="C36" s="42" t="s">
        <v>152</v>
      </c>
      <c r="D36" s="42"/>
    </row>
    <row r="39" customFormat="false" ht="15" hidden="false" customHeight="false" outlineLevel="0" collapsed="false">
      <c r="B39" s="43" t="s">
        <v>153</v>
      </c>
      <c r="C39" s="43"/>
    </row>
    <row r="40" customFormat="false" ht="15" hidden="false" customHeight="false" outlineLevel="0" collapsed="false">
      <c r="B40" s="44" t="s">
        <v>154</v>
      </c>
      <c r="C40" s="45" t="s">
        <v>155</v>
      </c>
    </row>
    <row r="41" customFormat="false" ht="15" hidden="false" customHeight="false" outlineLevel="0" collapsed="false">
      <c r="B41" s="46" t="s">
        <v>156</v>
      </c>
      <c r="C41" s="45" t="s">
        <v>157</v>
      </c>
    </row>
    <row r="42" customFormat="false" ht="15" hidden="false" customHeight="false" outlineLevel="0" collapsed="false">
      <c r="B42" s="47" t="s">
        <v>158</v>
      </c>
      <c r="C42" s="48" t="s">
        <v>159</v>
      </c>
    </row>
    <row r="45" customFormat="false" ht="30" hidden="false" customHeight="true" outlineLevel="0" collapsed="false">
      <c r="B45" s="49" t="s">
        <v>160</v>
      </c>
      <c r="C45" s="50"/>
      <c r="D45" s="50"/>
    </row>
  </sheetData>
  <mergeCells count="10">
    <mergeCell ref="B3:F3"/>
    <mergeCell ref="B4:F4"/>
    <mergeCell ref="B13:F13"/>
    <mergeCell ref="B14:F14"/>
    <mergeCell ref="C33:D33"/>
    <mergeCell ref="C34:D34"/>
    <mergeCell ref="C35:D35"/>
    <mergeCell ref="C36:D36"/>
    <mergeCell ref="B39:C39"/>
    <mergeCell ref="C45:D4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6:F29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431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72" hidden="false" customHeight="true" outlineLevel="0" collapsed="false">
      <c r="B6" s="27" t="s">
        <v>120</v>
      </c>
      <c r="C6" s="28" t="s">
        <v>432</v>
      </c>
      <c r="D6" s="28" t="s">
        <v>433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434</v>
      </c>
      <c r="D7" s="28" t="s">
        <v>435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436</v>
      </c>
      <c r="D8" s="28" t="s">
        <v>437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438</v>
      </c>
      <c r="D9" s="28" t="s">
        <v>439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440</v>
      </c>
      <c r="D10" s="28" t="s">
        <v>441</v>
      </c>
      <c r="E10" s="29" t="s">
        <v>175</v>
      </c>
      <c r="F10" s="30" t="n">
        <v>0</v>
      </c>
    </row>
    <row r="11" customFormat="false" ht="42" hidden="false" customHeight="true" outlineLevel="0" collapsed="false">
      <c r="B11" s="27" t="s">
        <v>193</v>
      </c>
      <c r="C11" s="28" t="s">
        <v>442</v>
      </c>
      <c r="D11" s="28" t="s">
        <v>443</v>
      </c>
      <c r="E11" s="29" t="s">
        <v>175</v>
      </c>
      <c r="F11" s="30" t="n">
        <v>0</v>
      </c>
    </row>
    <row r="12" customFormat="false" ht="42" hidden="false" customHeight="true" outlineLevel="0" collapsed="false">
      <c r="B12" s="31" t="s">
        <v>196</v>
      </c>
      <c r="C12" s="32" t="s">
        <v>444</v>
      </c>
      <c r="D12" s="32" t="s">
        <v>445</v>
      </c>
      <c r="E12" s="33" t="s">
        <v>123</v>
      </c>
      <c r="F12" s="34" t="n">
        <v>0</v>
      </c>
    </row>
    <row r="15" customFormat="false" ht="48.75" hidden="false" customHeight="true" outlineLevel="0" collapsed="false">
      <c r="B15" s="35" t="s">
        <v>127</v>
      </c>
      <c r="C15" s="35"/>
      <c r="D15" s="35"/>
      <c r="E15" s="35"/>
      <c r="F15" s="35"/>
    </row>
    <row r="16" customFormat="false" ht="48" hidden="false" customHeight="true" outlineLevel="0" collapsed="false">
      <c r="B16" s="23" t="s">
        <v>446</v>
      </c>
      <c r="C16" s="23"/>
      <c r="D16" s="23"/>
      <c r="E16" s="23"/>
      <c r="F16" s="23"/>
    </row>
    <row r="17" customFormat="false" ht="22.5" hidden="false" customHeight="true" outlineLevel="0" collapsed="false">
      <c r="B17" s="24" t="s">
        <v>116</v>
      </c>
      <c r="C17" s="25" t="s">
        <v>129</v>
      </c>
      <c r="D17" s="25" t="s">
        <v>118</v>
      </c>
      <c r="E17" s="25" t="s">
        <v>119</v>
      </c>
      <c r="F17" s="26" t="s">
        <v>75</v>
      </c>
    </row>
    <row r="18" customFormat="false" ht="42" hidden="false" customHeight="true" outlineLevel="0" collapsed="false">
      <c r="B18" s="27" t="s">
        <v>130</v>
      </c>
      <c r="C18" s="28" t="str">
        <f aca="false">'RNF Accesibilidad'!C6</f>
        <v>Estándar de accesibilidad</v>
      </c>
      <c r="D18" s="28" t="str">
        <f aca="false">'RNF Accesibilidad'!D6</f>
        <v>Las interfaces cumplen las pautas WCAG 2.1 nivel AA.</v>
      </c>
      <c r="E18" s="29" t="str">
        <f aca="false">'RNF Accesibilidad'!E6</f>
        <v>Alta</v>
      </c>
      <c r="F18" s="30" t="n">
        <f aca="false">'RNF Accesibilidad'!F6</f>
        <v>0</v>
      </c>
    </row>
    <row r="19" customFormat="false" ht="72" hidden="false" customHeight="true" outlineLevel="0" collapsed="false">
      <c r="B19" s="27" t="s">
        <v>131</v>
      </c>
      <c r="C19" s="28" t="str">
        <f aca="false">'RNF Accesibilidad'!C7</f>
        <v>Lectores de pantalla</v>
      </c>
      <c r="D19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9" s="29" t="str">
        <f aca="false">'RNF Accesibilidad'!E7</f>
        <v>Alta</v>
      </c>
      <c r="F19" s="30" t="n">
        <f aca="false">'RNF Accesibilidad'!F7</f>
        <v>0</v>
      </c>
    </row>
    <row r="20" customFormat="false" ht="42" hidden="false" customHeight="true" outlineLevel="0" collapsed="false">
      <c r="B20" s="27" t="s">
        <v>132</v>
      </c>
      <c r="C20" s="28" t="str">
        <f aca="false">'RNF Accesibilidad'!C8</f>
        <v>Contraste</v>
      </c>
      <c r="D20" s="28" t="str">
        <f aca="false">'RNF Accesibilidad'!D8</f>
        <v>Contraste mínimo de 4.5:1 para texto normal y 3:1 para texto grande y componentes de interfaz.</v>
      </c>
      <c r="E20" s="29" t="str">
        <f aca="false">'RNF Accesibilidad'!E8</f>
        <v>Alta</v>
      </c>
      <c r="F20" s="30" t="n">
        <f aca="false">'RNF Accesibilidad'!F8</f>
        <v>0</v>
      </c>
    </row>
    <row r="21" customFormat="false" ht="57" hidden="false" customHeight="true" outlineLevel="0" collapsed="false">
      <c r="B21" s="27" t="s">
        <v>133</v>
      </c>
      <c r="C21" s="28" t="str">
        <f aca="false">'RNF Accesibilidad'!C9</f>
        <v>Texto escalable</v>
      </c>
      <c r="D21" s="28" t="str">
        <f aca="false">'RNF Accesibilidad'!D9</f>
        <v>La interfaz respeta el tamaño de fuente del sistema y admite hasta 200 % de ampliación sin pérdida de contenido ni funcionalidad.</v>
      </c>
      <c r="E21" s="29" t="str">
        <f aca="false">'RNF Accesibilidad'!E9</f>
        <v>Alta</v>
      </c>
      <c r="F21" s="30" t="n">
        <f aca="false">'RNF Accesibilidad'!F9</f>
        <v>0</v>
      </c>
    </row>
    <row r="22" customFormat="false" ht="42" hidden="false" customHeight="true" outlineLevel="0" collapsed="false">
      <c r="B22" s="27" t="s">
        <v>134</v>
      </c>
      <c r="C22" s="28" t="str">
        <f aca="false">'RNF Accesibilidad'!C10</f>
        <v>Áreas táctiles</v>
      </c>
      <c r="D22" s="28" t="str">
        <f aca="false">'RNF Accesibilidad'!D10</f>
        <v>Los componentes táctiles tienen un área mínima de 48 × 48 dp en Android y 44 × 44 pt en iOS.</v>
      </c>
      <c r="E22" s="29" t="str">
        <f aca="false">'RNF Accesibilidad'!E10</f>
        <v>Alta</v>
      </c>
      <c r="F22" s="30" t="n">
        <f aca="false">'RNF Accesibilidad'!F10</f>
        <v>0</v>
      </c>
    </row>
    <row r="23" customFormat="false" ht="42" hidden="false" customHeight="true" outlineLevel="0" collapsed="false">
      <c r="B23" s="27" t="s">
        <v>135</v>
      </c>
      <c r="C23" s="28" t="str">
        <f aca="false">'RNF Accesibilidad'!C11</f>
        <v>Información no dependiente del color</v>
      </c>
      <c r="D23" s="28" t="str">
        <f aca="false">'RNF Accesibilidad'!D11</f>
        <v>Estados, errores y porcentajes se comunican con texto o ícono además del color.</v>
      </c>
      <c r="E23" s="29" t="str">
        <f aca="false">'RNF Accesibilidad'!E11</f>
        <v>Alta</v>
      </c>
      <c r="F23" s="30" t="n">
        <f aca="false">'RNF Accesibilidad'!F11</f>
        <v>0</v>
      </c>
    </row>
    <row r="24" customFormat="false" ht="57" hidden="false" customHeight="true" outlineLevel="0" collapsed="false">
      <c r="B24" s="27" t="s">
        <v>136</v>
      </c>
      <c r="C24" s="28" t="str">
        <f aca="false">'RNF Accesibilidad'!C12</f>
        <v>Navegación por teclado</v>
      </c>
      <c r="D24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4" s="29" t="str">
        <f aca="false">'RNF Accesibilidad'!E12</f>
        <v>Alta</v>
      </c>
      <c r="F24" s="30" t="n">
        <f aca="false">'RNF Accesibilidad'!F12</f>
        <v>0</v>
      </c>
    </row>
    <row r="25" customFormat="false" ht="42" hidden="false" customHeight="true" outlineLevel="0" collapsed="false">
      <c r="B25" s="27" t="s">
        <v>137</v>
      </c>
      <c r="C25" s="28" t="str">
        <f aca="false">'RNF Accesibilidad'!C13</f>
        <v>Lenguaje claro</v>
      </c>
      <c r="D25" s="28" t="str">
        <f aca="false">'RNF Accesibilidad'!D13</f>
        <v>Textos en lenguaje claro y sin tecnicismos; los errores de formulario indican qué campo falla y cómo corregirlo.</v>
      </c>
      <c r="E25" s="29" t="str">
        <f aca="false">'RNF Accesibilidad'!E13</f>
        <v>Media</v>
      </c>
      <c r="F25" s="30" t="n">
        <f aca="false">'RNF Accesibilidad'!F13</f>
        <v>0</v>
      </c>
    </row>
    <row r="26" customFormat="false" ht="42" hidden="false" customHeight="true" outlineLevel="0" collapsed="false">
      <c r="B26" s="27" t="s">
        <v>138</v>
      </c>
      <c r="C26" s="28" t="str">
        <f aca="false">'RNF Accesibilidad'!C14</f>
        <v>Movimiento reducido</v>
      </c>
      <c r="D26" s="28" t="str">
        <f aca="false">'RNF Accesibilidad'!D14</f>
        <v>Se respeta la preferencia de «reducir movimiento» del sistema y no hay contenido parpadeante.</v>
      </c>
      <c r="E26" s="29" t="str">
        <f aca="false">'RNF Accesibilidad'!E14</f>
        <v>Baja</v>
      </c>
      <c r="F26" s="30" t="n">
        <f aca="false">'RNF Accesibilidad'!F14</f>
        <v>0</v>
      </c>
    </row>
    <row r="27" customFormat="false" ht="30" hidden="false" customHeight="true" outlineLevel="0" collapsed="false">
      <c r="B27" s="27" t="s">
        <v>447</v>
      </c>
      <c r="C27" s="28" t="str">
        <f aca="false">'RNF Dashboard'!C6</f>
        <v>Desempeño</v>
      </c>
      <c r="D27" s="28" t="str">
        <f aca="false">'RNF Dashboard'!D6</f>
        <v>Generación de estadísticas de hasta 12 meses de datos en ≤ 5 s.</v>
      </c>
      <c r="E27" s="29" t="str">
        <f aca="false">'RNF Dashboard'!E6</f>
        <v>Alta</v>
      </c>
      <c r="F27" s="30" t="n">
        <f aca="false">'RNF Dashboard'!F6</f>
        <v>0</v>
      </c>
    </row>
    <row r="28" customFormat="false" ht="42" hidden="false" customHeight="true" outlineLevel="0" collapsed="false">
      <c r="B28" s="27" t="s">
        <v>448</v>
      </c>
      <c r="C28" s="28" t="str">
        <f aca="false">'RNF Dashboard'!C7</f>
        <v>Exportación</v>
      </c>
      <c r="D28" s="28" t="str">
        <f aca="false">'RNF Dashboard'!D7</f>
        <v>La descarga en PDF o XLSX inicia en ≤ 3 s después de la solicitud.</v>
      </c>
      <c r="E28" s="29" t="str">
        <f aca="false">'RNF Dashboard'!E7</f>
        <v>Media</v>
      </c>
      <c r="F28" s="30" t="n">
        <f aca="false">'RNF Dashboard'!F7</f>
        <v>0</v>
      </c>
    </row>
    <row r="29" customFormat="false" ht="57" hidden="false" customHeight="true" outlineLevel="0" collapsed="false">
      <c r="B29" s="27" t="s">
        <v>449</v>
      </c>
      <c r="C29" s="28" t="str">
        <f aca="false">'RNF Dashboard'!C8</f>
        <v>Gráficas accesibles</v>
      </c>
      <c r="D29" s="28" t="str">
        <f aca="false">'RNF Dashboard'!D8</f>
        <v>Cada gráfica tiene título, leyenda, valores disponibles como tabla alternativa y colores distinguibles para personas con daltonismo.</v>
      </c>
      <c r="E29" s="29" t="str">
        <f aca="false">'RNF Dashboard'!E8</f>
        <v>Alta</v>
      </c>
      <c r="F29" s="30" t="n">
        <f aca="false">'RNF Dashboard'!F8</f>
        <v>0</v>
      </c>
    </row>
    <row r="30" customFormat="false" ht="42" hidden="false" customHeight="true" outlineLevel="0" collapsed="false">
      <c r="B30" s="31" t="s">
        <v>450</v>
      </c>
      <c r="C30" s="32" t="str">
        <f aca="false">'RNF Dashboard'!C9</f>
        <v>Anonimato</v>
      </c>
      <c r="D30" s="32" t="str">
        <f aca="false">'RNF Dashboard'!D9</f>
        <v>Los indicadores con menos de 5 registros se agrupan para evitar identificar a personas.</v>
      </c>
      <c r="E30" s="33" t="str">
        <f aca="false">'RNF Dashboard'!E9</f>
        <v>Media</v>
      </c>
      <c r="F30" s="34" t="n">
        <f aca="false">'RNF Dashboard'!F9</f>
        <v>0</v>
      </c>
    </row>
    <row r="31" customFormat="false" ht="15" hidden="false" customHeight="false" outlineLevel="0" collapsed="false">
      <c r="B31" s="36" t="s">
        <v>144</v>
      </c>
    </row>
    <row r="34" customFormat="false" ht="15" hidden="false" customHeight="true" outlineLevel="0" collapsed="false">
      <c r="B34" s="37" t="s">
        <v>145</v>
      </c>
      <c r="C34" s="38" t="s">
        <v>146</v>
      </c>
      <c r="D34" s="38"/>
    </row>
    <row r="35" customFormat="false" ht="15" hidden="false" customHeight="true" outlineLevel="0" collapsed="false">
      <c r="B35" s="39" t="s">
        <v>147</v>
      </c>
      <c r="C35" s="40" t="s">
        <v>148</v>
      </c>
      <c r="D35" s="40"/>
    </row>
    <row r="36" customFormat="false" ht="15" hidden="false" customHeight="true" outlineLevel="0" collapsed="false">
      <c r="B36" s="39" t="s">
        <v>149</v>
      </c>
      <c r="C36" s="40" t="s">
        <v>451</v>
      </c>
      <c r="D36" s="40"/>
    </row>
    <row r="37" customFormat="false" ht="15" hidden="false" customHeight="true" outlineLevel="0" collapsed="false">
      <c r="B37" s="41" t="s">
        <v>151</v>
      </c>
      <c r="C37" s="42" t="s">
        <v>152</v>
      </c>
      <c r="D37" s="42"/>
    </row>
    <row r="40" customFormat="false" ht="15" hidden="false" customHeight="false" outlineLevel="0" collapsed="false">
      <c r="B40" s="43" t="s">
        <v>153</v>
      </c>
      <c r="C40" s="43"/>
    </row>
    <row r="41" customFormat="false" ht="15" hidden="false" customHeight="false" outlineLevel="0" collapsed="false">
      <c r="B41" s="44" t="s">
        <v>154</v>
      </c>
      <c r="C41" s="45" t="s">
        <v>155</v>
      </c>
    </row>
    <row r="42" customFormat="false" ht="15" hidden="false" customHeight="false" outlineLevel="0" collapsed="false">
      <c r="B42" s="46" t="s">
        <v>156</v>
      </c>
      <c r="C42" s="45" t="s">
        <v>157</v>
      </c>
    </row>
    <row r="43" customFormat="false" ht="15" hidden="false" customHeight="false" outlineLevel="0" collapsed="false">
      <c r="B43" s="47" t="s">
        <v>158</v>
      </c>
      <c r="C43" s="48" t="s">
        <v>159</v>
      </c>
    </row>
    <row r="46" customFormat="false" ht="30" hidden="false" customHeight="true" outlineLevel="0" collapsed="false">
      <c r="B46" s="49" t="s">
        <v>160</v>
      </c>
      <c r="C46" s="50"/>
      <c r="D46" s="50"/>
    </row>
  </sheetData>
  <mergeCells count="10">
    <mergeCell ref="B3:F3"/>
    <mergeCell ref="B4:F4"/>
    <mergeCell ref="B15:F15"/>
    <mergeCell ref="B16:F16"/>
    <mergeCell ref="C34:D34"/>
    <mergeCell ref="C35:D35"/>
    <mergeCell ref="C36:D36"/>
    <mergeCell ref="C37:D37"/>
    <mergeCell ref="B40:C40"/>
    <mergeCell ref="C46:D46"/>
  </mergeCells>
  <conditionalFormatting sqref="F6:F12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8:F30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2" type="decimal">
      <formula1>0</formula1>
      <formula2>1</formula2>
    </dataValidation>
    <dataValidation allowBlank="false" errorStyle="stop" operator="between" showDropDown="false" showErrorMessage="false" showInputMessage="false" sqref="E6:E12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452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453</v>
      </c>
      <c r="D6" s="28" t="s">
        <v>454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455</v>
      </c>
      <c r="D7" s="28" t="s">
        <v>456</v>
      </c>
      <c r="E7" s="29" t="s">
        <v>175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457</v>
      </c>
      <c r="D8" s="28" t="s">
        <v>458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459</v>
      </c>
      <c r="D9" s="28" t="s">
        <v>460</v>
      </c>
      <c r="E9" s="29" t="s">
        <v>175</v>
      </c>
      <c r="F9" s="30" t="n">
        <v>0</v>
      </c>
    </row>
    <row r="10" customFormat="false" ht="57" hidden="false" customHeight="true" outlineLevel="0" collapsed="false">
      <c r="B10" s="27" t="s">
        <v>172</v>
      </c>
      <c r="C10" s="28" t="s">
        <v>461</v>
      </c>
      <c r="D10" s="28" t="s">
        <v>462</v>
      </c>
      <c r="E10" s="29" t="s">
        <v>123</v>
      </c>
      <c r="F10" s="30" t="n">
        <v>0</v>
      </c>
    </row>
    <row r="11" customFormat="false" ht="57" hidden="false" customHeight="true" outlineLevel="0" collapsed="false">
      <c r="B11" s="31" t="s">
        <v>193</v>
      </c>
      <c r="C11" s="32" t="s">
        <v>463</v>
      </c>
      <c r="D11" s="32" t="s">
        <v>464</v>
      </c>
      <c r="E11" s="33" t="s">
        <v>175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465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72" hidden="false" customHeight="true" outlineLevel="0" collapsed="false">
      <c r="B26" s="27" t="s">
        <v>200</v>
      </c>
      <c r="C26" s="28" t="str">
        <f aca="false">'RNF Privacidad'!C6</f>
        <v>Cumplimiento legal</v>
      </c>
      <c r="D26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26" s="29" t="str">
        <f aca="false">'RNF Privacidad'!E6</f>
        <v>Alta</v>
      </c>
      <c r="F26" s="30" t="n">
        <f aca="false">'RNF Privacidad'!F6</f>
        <v>0</v>
      </c>
    </row>
    <row r="27" customFormat="false" ht="42" hidden="false" customHeight="true" outlineLevel="0" collapsed="false">
      <c r="B27" s="27" t="s">
        <v>201</v>
      </c>
      <c r="C27" s="28" t="str">
        <f aca="false">'RNF Privacidad'!C7</f>
        <v>Minimización de datos</v>
      </c>
      <c r="D27" s="28" t="str">
        <f aca="false">'RNF Privacidad'!D7</f>
        <v>El sistema registra necesidades de ajuste y no diagnósticos, tipos de discapacidad ni documentos médicos.</v>
      </c>
      <c r="E27" s="29" t="str">
        <f aca="false">'RNF Privacidad'!E7</f>
        <v>Alta</v>
      </c>
      <c r="F27" s="30" t="n">
        <f aca="false">'RNF Privacidad'!F7</f>
        <v>0</v>
      </c>
    </row>
    <row r="28" customFormat="false" ht="57" hidden="false" customHeight="true" outlineLevel="0" collapsed="false">
      <c r="B28" s="27" t="s">
        <v>202</v>
      </c>
      <c r="C28" s="28" t="str">
        <f aca="false">'RNF Privacidad'!C8</f>
        <v>Control del candidato</v>
      </c>
      <c r="D28" s="28" t="str">
        <f aca="false">'RNF Privacidad'!D8</f>
        <v>Las necesidades de ajuste solo son visibles para el candidato y para las empresas a cuyas vacantes se postuló con consentimiento; el administrador solo ve datos agregados.</v>
      </c>
      <c r="E28" s="29" t="str">
        <f aca="false">'RNF Privacidad'!E8</f>
        <v>Alta</v>
      </c>
      <c r="F28" s="30" t="n">
        <f aca="false">'RNF Privacidad'!F8</f>
        <v>0</v>
      </c>
    </row>
    <row r="29" customFormat="false" ht="57" hidden="false" customHeight="true" outlineLevel="0" collapsed="false">
      <c r="B29" s="27" t="s">
        <v>203</v>
      </c>
      <c r="C29" s="28" t="str">
        <f aca="false">'RNF Privacidad'!C9</f>
        <v>Derechos ARCO</v>
      </c>
      <c r="D29" s="28" t="str">
        <f aca="false">'RNF Privacidad'!D9</f>
        <v>El candidato puede consultar, corregir y eliminar sus datos; la eliminación anonimiza sus postulaciones históricas en un plazo máximo de 30 días.</v>
      </c>
      <c r="E29" s="29" t="str">
        <f aca="false">'RNF Privacidad'!E9</f>
        <v>Alta</v>
      </c>
      <c r="F29" s="30" t="n">
        <f aca="false">'RNF Privacidad'!F9</f>
        <v>0</v>
      </c>
    </row>
    <row r="30" customFormat="false" ht="42" hidden="false" customHeight="true" outlineLevel="0" collapsed="false">
      <c r="B30" s="27" t="s">
        <v>204</v>
      </c>
      <c r="C30" s="28" t="str">
        <f aca="false">'RNF Privacidad'!C10</f>
        <v>Registros sin datos sensibles</v>
      </c>
      <c r="D30" s="28" t="str">
        <f aca="false">'RNF Privacidad'!D10</f>
        <v>Los logs del servidor y los mensajes push no incluyen necesidades de ajuste ni datos de contacto.</v>
      </c>
      <c r="E30" s="29" t="str">
        <f aca="false">'RNF Privacidad'!E10</f>
        <v>Alta</v>
      </c>
      <c r="F30" s="30" t="n">
        <f aca="false">'RNF Privacidad'!F10</f>
        <v>0</v>
      </c>
    </row>
    <row r="31" customFormat="false" ht="42" hidden="false" customHeight="true" outlineLevel="0" collapsed="false">
      <c r="B31" s="27" t="s">
        <v>466</v>
      </c>
      <c r="C31" s="28" t="str">
        <f aca="false">'RNF CRUD Web'!C6</f>
        <v>Desempeño</v>
      </c>
      <c r="D31" s="28" t="str">
        <f aca="false">'RNF CRUD Web'!D6</f>
        <v>Listados paginados de 25 registros con tiempo de respuesta ≤ 1 s.</v>
      </c>
      <c r="E31" s="29" t="str">
        <f aca="false">'RNF CRUD Web'!E6</f>
        <v>Alta</v>
      </c>
      <c r="F31" s="30" t="n">
        <f aca="false">'RNF CRUD Web'!F6</f>
        <v>0</v>
      </c>
    </row>
    <row r="32" customFormat="false" ht="42" hidden="false" customHeight="true" outlineLevel="0" collapsed="false">
      <c r="B32" s="27" t="s">
        <v>467</v>
      </c>
      <c r="C32" s="28" t="str">
        <f aca="false">'RNF CRUD Web'!C7</f>
        <v>Validación</v>
      </c>
      <c r="D32" s="28" t="str">
        <f aca="false">'RNF CRUD Web'!D7</f>
        <v>Validación en cliente y servidor con mensajes específicos por campo.</v>
      </c>
      <c r="E32" s="29" t="str">
        <f aca="false">'RNF CRUD Web'!E7</f>
        <v>Alta</v>
      </c>
      <c r="F32" s="30" t="n">
        <f aca="false">'RNF CRUD Web'!F7</f>
        <v>0</v>
      </c>
    </row>
    <row r="33" customFormat="false" ht="42" hidden="false" customHeight="true" outlineLevel="0" collapsed="false">
      <c r="B33" s="27" t="s">
        <v>468</v>
      </c>
      <c r="C33" s="28" t="str">
        <f aca="false">'RNF CRUD Web'!C8</f>
        <v>Compatibilidad</v>
      </c>
      <c r="D33" s="28" t="str">
        <f aca="false">'RNF CRUD Web'!D8</f>
        <v>Funciona en Chrome, Firefox y Edge en sus dos versiones más recientes, en resoluciones desde 1280 px de ancho.</v>
      </c>
      <c r="E33" s="29" t="str">
        <f aca="false">'RNF CRUD Web'!E8</f>
        <v>Media</v>
      </c>
      <c r="F33" s="30" t="n">
        <f aca="false">'RNF CRUD Web'!F8</f>
        <v>0</v>
      </c>
    </row>
    <row r="34" customFormat="false" ht="57" hidden="false" customHeight="true" outlineLevel="0" collapsed="false">
      <c r="B34" s="27" t="s">
        <v>469</v>
      </c>
      <c r="C34" s="28" t="str">
        <f aca="false">'RNF CRUD Web'!C9</f>
        <v>Auditoría</v>
      </c>
      <c r="D34" s="28" t="str">
        <f aca="false">'RNF CRUD Web'!D9</f>
        <v>Toda creación, edición, validación, suspensión o cambio de estado queda registrado en bitácora con usuario, fecha y hora, valor anterior y valor nuevo.</v>
      </c>
      <c r="E34" s="29" t="str">
        <f aca="false">'RNF CRUD Web'!E9</f>
        <v>Alta</v>
      </c>
      <c r="F34" s="30" t="n">
        <f aca="false">'RNF CRUD Web'!F9</f>
        <v>0</v>
      </c>
    </row>
    <row r="35" customFormat="false" ht="42" hidden="false" customHeight="true" outlineLevel="0" collapsed="false">
      <c r="B35" s="31" t="s">
        <v>470</v>
      </c>
      <c r="C35" s="32" t="str">
        <f aca="false">'RNF CRUD Web'!C10</f>
        <v>Confirmación de acciones críticas</v>
      </c>
      <c r="D35" s="32" t="str">
        <f aca="false">'RNF CRUD Web'!D10</f>
        <v>Suspender, rechazar o dar de baja requiere confirmación y motivo.</v>
      </c>
      <c r="E35" s="33" t="str">
        <f aca="false">'RNF CRUD Web'!E10</f>
        <v>Media</v>
      </c>
      <c r="F35" s="34" t="n">
        <f aca="false">'RNF CRUD Web'!F10</f>
        <v>0</v>
      </c>
    </row>
    <row r="36" customFormat="false" ht="15" hidden="false" customHeight="false" outlineLevel="0" collapsed="false">
      <c r="B36" s="36" t="s">
        <v>144</v>
      </c>
    </row>
    <row r="39" customFormat="false" ht="15" hidden="false" customHeight="true" outlineLevel="0" collapsed="false">
      <c r="B39" s="37" t="s">
        <v>145</v>
      </c>
      <c r="C39" s="38" t="s">
        <v>146</v>
      </c>
      <c r="D39" s="38"/>
    </row>
    <row r="40" customFormat="false" ht="15" hidden="false" customHeight="true" outlineLevel="0" collapsed="false">
      <c r="B40" s="39" t="s">
        <v>147</v>
      </c>
      <c r="C40" s="40" t="s">
        <v>148</v>
      </c>
      <c r="D40" s="40"/>
    </row>
    <row r="41" customFormat="false" ht="15" hidden="false" customHeight="true" outlineLevel="0" collapsed="false">
      <c r="B41" s="39" t="s">
        <v>149</v>
      </c>
      <c r="C41" s="40" t="s">
        <v>150</v>
      </c>
      <c r="D41" s="40"/>
    </row>
    <row r="42" customFormat="false" ht="15" hidden="false" customHeight="true" outlineLevel="0" collapsed="false">
      <c r="B42" s="41" t="s">
        <v>151</v>
      </c>
      <c r="C42" s="42" t="s">
        <v>152</v>
      </c>
      <c r="D42" s="42"/>
    </row>
    <row r="45" customFormat="false" ht="15" hidden="false" customHeight="false" outlineLevel="0" collapsed="false">
      <c r="B45" s="43" t="s">
        <v>153</v>
      </c>
      <c r="C45" s="43"/>
    </row>
    <row r="46" customFormat="false" ht="15" hidden="false" customHeight="false" outlineLevel="0" collapsed="false">
      <c r="B46" s="44" t="s">
        <v>154</v>
      </c>
      <c r="C46" s="45" t="s">
        <v>155</v>
      </c>
    </row>
    <row r="47" customFormat="false" ht="15" hidden="false" customHeight="false" outlineLevel="0" collapsed="false">
      <c r="B47" s="46" t="s">
        <v>156</v>
      </c>
      <c r="C47" s="45" t="s">
        <v>157</v>
      </c>
    </row>
    <row r="48" customFormat="false" ht="15" hidden="false" customHeight="false" outlineLevel="0" collapsed="false">
      <c r="B48" s="47" t="s">
        <v>158</v>
      </c>
      <c r="C48" s="48" t="s">
        <v>159</v>
      </c>
    </row>
    <row r="51" customFormat="false" ht="30" hidden="false" customHeight="true" outlineLevel="0" collapsed="false">
      <c r="B51" s="49" t="s">
        <v>160</v>
      </c>
      <c r="C51" s="50"/>
      <c r="D51" s="50"/>
    </row>
  </sheetData>
  <mergeCells count="10">
    <mergeCell ref="B3:F3"/>
    <mergeCell ref="B4:F4"/>
    <mergeCell ref="B14:F14"/>
    <mergeCell ref="B15:F15"/>
    <mergeCell ref="C39:D39"/>
    <mergeCell ref="C40:D40"/>
    <mergeCell ref="C41:D41"/>
    <mergeCell ref="C42:D42"/>
    <mergeCell ref="B45:C45"/>
    <mergeCell ref="C51:D51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5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471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472</v>
      </c>
      <c r="D6" s="28" t="s">
        <v>473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474</v>
      </c>
      <c r="D7" s="28" t="s">
        <v>475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166</v>
      </c>
      <c r="C8" s="28" t="s">
        <v>476</v>
      </c>
      <c r="D8" s="28" t="s">
        <v>477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169</v>
      </c>
      <c r="C9" s="28" t="s">
        <v>478</v>
      </c>
      <c r="D9" s="28" t="s">
        <v>479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480</v>
      </c>
      <c r="D10" s="28" t="s">
        <v>481</v>
      </c>
      <c r="E10" s="29" t="s">
        <v>175</v>
      </c>
      <c r="F10" s="30" t="n">
        <v>0</v>
      </c>
    </row>
    <row r="11" customFormat="false" ht="42" hidden="false" customHeight="true" outlineLevel="0" collapsed="false">
      <c r="B11" s="31" t="s">
        <v>193</v>
      </c>
      <c r="C11" s="32" t="s">
        <v>482</v>
      </c>
      <c r="D11" s="32" t="s">
        <v>483</v>
      </c>
      <c r="E11" s="33" t="s">
        <v>123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484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466</v>
      </c>
      <c r="C26" s="28" t="str">
        <f aca="false">'RNF CRUD Web'!C6</f>
        <v>Desempeño</v>
      </c>
      <c r="D26" s="28" t="str">
        <f aca="false">'RNF CRUD Web'!D6</f>
        <v>Listados paginados de 25 registros con tiempo de respuesta ≤ 1 s.</v>
      </c>
      <c r="E26" s="29" t="str">
        <f aca="false">'RNF CRUD Web'!E6</f>
        <v>Alta</v>
      </c>
      <c r="F26" s="30" t="n">
        <f aca="false">'RNF CRUD Web'!F6</f>
        <v>0</v>
      </c>
    </row>
    <row r="27" customFormat="false" ht="42" hidden="false" customHeight="true" outlineLevel="0" collapsed="false">
      <c r="B27" s="27" t="s">
        <v>467</v>
      </c>
      <c r="C27" s="28" t="str">
        <f aca="false">'RNF CRUD Web'!C7</f>
        <v>Validación</v>
      </c>
      <c r="D27" s="28" t="str">
        <f aca="false">'RNF CRUD Web'!D7</f>
        <v>Validación en cliente y servidor con mensajes específicos por campo.</v>
      </c>
      <c r="E27" s="29" t="str">
        <f aca="false">'RNF CRUD Web'!E7</f>
        <v>Alta</v>
      </c>
      <c r="F27" s="30" t="n">
        <f aca="false">'RNF CRUD Web'!F7</f>
        <v>0</v>
      </c>
    </row>
    <row r="28" customFormat="false" ht="42" hidden="false" customHeight="true" outlineLevel="0" collapsed="false">
      <c r="B28" s="27" t="s">
        <v>468</v>
      </c>
      <c r="C28" s="28" t="str">
        <f aca="false">'RNF CRUD Web'!C8</f>
        <v>Compatibilidad</v>
      </c>
      <c r="D28" s="28" t="str">
        <f aca="false">'RNF CRUD Web'!D8</f>
        <v>Funciona en Chrome, Firefox y Edge en sus dos versiones más recientes, en resoluciones desde 1280 px de ancho.</v>
      </c>
      <c r="E28" s="29" t="str">
        <f aca="false">'RNF CRUD Web'!E8</f>
        <v>Media</v>
      </c>
      <c r="F28" s="30" t="n">
        <f aca="false">'RNF CRUD Web'!F8</f>
        <v>0</v>
      </c>
    </row>
    <row r="29" customFormat="false" ht="57" hidden="false" customHeight="true" outlineLevel="0" collapsed="false">
      <c r="B29" s="27" t="s">
        <v>469</v>
      </c>
      <c r="C29" s="28" t="str">
        <f aca="false">'RNF CRUD Web'!C9</f>
        <v>Auditoría</v>
      </c>
      <c r="D29" s="28" t="str">
        <f aca="false">'RNF CRUD Web'!D9</f>
        <v>Toda creación, edición, validación, suspensión o cambio de estado queda registrado en bitácora con usuario, fecha y hora, valor anterior y valor nuevo.</v>
      </c>
      <c r="E29" s="29" t="str">
        <f aca="false">'RNF CRUD Web'!E9</f>
        <v>Alta</v>
      </c>
      <c r="F29" s="30" t="n">
        <f aca="false">'RNF CRUD Web'!F9</f>
        <v>0</v>
      </c>
    </row>
    <row r="30" customFormat="false" ht="42" hidden="false" customHeight="true" outlineLevel="0" collapsed="false">
      <c r="B30" s="27" t="s">
        <v>470</v>
      </c>
      <c r="C30" s="28" t="str">
        <f aca="false">'RNF CRUD Web'!C10</f>
        <v>Confirmación de acciones críticas</v>
      </c>
      <c r="D30" s="28" t="str">
        <f aca="false">'RNF CRUD Web'!D10</f>
        <v>Suspender, rechazar o dar de baja requiere confirmación y motivo.</v>
      </c>
      <c r="E30" s="29" t="str">
        <f aca="false">'RNF CRUD Web'!E10</f>
        <v>Media</v>
      </c>
      <c r="F30" s="30" t="n">
        <f aca="false">'RNF CRUD Web'!F10</f>
        <v>0</v>
      </c>
    </row>
    <row r="31" customFormat="false" ht="42" hidden="false" customHeight="true" outlineLevel="0" collapsed="false">
      <c r="B31" s="27" t="s">
        <v>232</v>
      </c>
      <c r="C31" s="28" t="str">
        <f aca="false">'RNF Notificaciones'!C6</f>
        <v>Tiempo de entrega</v>
      </c>
      <c r="D31" s="28" t="str">
        <f aca="false">'RNF Notificaciones'!D6</f>
        <v>Las notificaciones push se envían en ≤ 1 min y los correos en ≤ 5 min tras el evento.</v>
      </c>
      <c r="E31" s="29" t="str">
        <f aca="false">'RNF Notificaciones'!E6</f>
        <v>Media</v>
      </c>
      <c r="F31" s="30" t="n">
        <f aca="false">'RNF Notificaciones'!F6</f>
        <v>0</v>
      </c>
    </row>
    <row r="32" customFormat="false" ht="42" hidden="false" customHeight="true" outlineLevel="0" collapsed="false">
      <c r="B32" s="27" t="s">
        <v>233</v>
      </c>
      <c r="C32" s="28" t="str">
        <f aca="false">'RNF Notificaciones'!C7</f>
        <v>Confiabilidad</v>
      </c>
      <c r="D32" s="28" t="str">
        <f aca="false">'RNF Notificaciones'!D7</f>
        <v>Los envíos fallidos se reintentan hasta 3 veces; el fallo de un canal no bloquea la operación que lo generó.</v>
      </c>
      <c r="E32" s="29" t="str">
        <f aca="false">'RNF Notificaciones'!E7</f>
        <v>Alta</v>
      </c>
      <c r="F32" s="30" t="n">
        <f aca="false">'RNF Notificaciones'!F7</f>
        <v>0</v>
      </c>
    </row>
    <row r="33" customFormat="false" ht="42" hidden="false" customHeight="true" outlineLevel="0" collapsed="false">
      <c r="B33" s="27" t="s">
        <v>234</v>
      </c>
      <c r="C33" s="28" t="str">
        <f aca="false">'RNF Notificaciones'!C8</f>
        <v>Correos accesibles</v>
      </c>
      <c r="D33" s="28" t="str">
        <f aca="false">'RNF Notificaciones'!D8</f>
        <v>Los correos incluyen versión en texto plano, estructura semántica y enlaces descriptivos.</v>
      </c>
      <c r="E33" s="29" t="str">
        <f aca="false">'RNF Notificaciones'!E8</f>
        <v>Media</v>
      </c>
      <c r="F33" s="30" t="n">
        <f aca="false">'RNF Notificaciones'!F8</f>
        <v>0</v>
      </c>
    </row>
    <row r="34" customFormat="false" ht="42" hidden="false" customHeight="true" outlineLevel="0" collapsed="false">
      <c r="B34" s="31" t="s">
        <v>235</v>
      </c>
      <c r="C34" s="32" t="str">
        <f aca="false">'RNF Notificaciones'!C9</f>
        <v>Contenido mínimo</v>
      </c>
      <c r="D34" s="32" t="str">
        <f aca="false">'RNF Notificaciones'!D9</f>
        <v>Las notificaciones push no incluyen datos personales sensibles; el detalle se consulta dentro de la app.</v>
      </c>
      <c r="E34" s="33" t="str">
        <f aca="false">'RNF Notificaciones'!E9</f>
        <v>Alta</v>
      </c>
      <c r="F34" s="34" t="n">
        <f aca="false">'RNF Notificaciones'!F9</f>
        <v>0</v>
      </c>
    </row>
    <row r="35" customFormat="false" ht="15" hidden="false" customHeight="false" outlineLevel="0" collapsed="false">
      <c r="B35" s="36" t="s">
        <v>144</v>
      </c>
    </row>
    <row r="38" customFormat="false" ht="15" hidden="false" customHeight="true" outlineLevel="0" collapsed="false">
      <c r="B38" s="37" t="s">
        <v>145</v>
      </c>
      <c r="C38" s="38" t="s">
        <v>146</v>
      </c>
      <c r="D38" s="38"/>
    </row>
    <row r="39" customFormat="false" ht="15" hidden="false" customHeight="true" outlineLevel="0" collapsed="false">
      <c r="B39" s="39" t="s">
        <v>147</v>
      </c>
      <c r="C39" s="40" t="s">
        <v>148</v>
      </c>
      <c r="D39" s="40"/>
    </row>
    <row r="40" customFormat="false" ht="15" hidden="false" customHeight="true" outlineLevel="0" collapsed="false">
      <c r="B40" s="39" t="s">
        <v>149</v>
      </c>
      <c r="C40" s="40" t="s">
        <v>419</v>
      </c>
      <c r="D40" s="40"/>
    </row>
    <row r="41" customFormat="false" ht="15" hidden="false" customHeight="true" outlineLevel="0" collapsed="false">
      <c r="B41" s="41" t="s">
        <v>151</v>
      </c>
      <c r="C41" s="42" t="s">
        <v>152</v>
      </c>
      <c r="D41" s="42"/>
    </row>
    <row r="44" customFormat="false" ht="15" hidden="false" customHeight="false" outlineLevel="0" collapsed="false">
      <c r="B44" s="43" t="s">
        <v>153</v>
      </c>
      <c r="C44" s="43"/>
    </row>
    <row r="45" customFormat="false" ht="15" hidden="false" customHeight="false" outlineLevel="0" collapsed="false">
      <c r="B45" s="44" t="s">
        <v>154</v>
      </c>
      <c r="C45" s="45" t="s">
        <v>155</v>
      </c>
    </row>
    <row r="46" customFormat="false" ht="15" hidden="false" customHeight="false" outlineLevel="0" collapsed="false">
      <c r="B46" s="46" t="s">
        <v>156</v>
      </c>
      <c r="C46" s="45" t="s">
        <v>157</v>
      </c>
    </row>
    <row r="47" customFormat="false" ht="15" hidden="false" customHeight="false" outlineLevel="0" collapsed="false">
      <c r="B47" s="47" t="s">
        <v>158</v>
      </c>
      <c r="C47" s="48" t="s">
        <v>159</v>
      </c>
    </row>
    <row r="50" customFormat="false" ht="30" hidden="false" customHeight="true" outlineLevel="0" collapsed="false">
      <c r="B50" s="49" t="s">
        <v>160</v>
      </c>
      <c r="C50" s="50"/>
      <c r="D50" s="50"/>
    </row>
  </sheetData>
  <mergeCells count="10">
    <mergeCell ref="B3:F3"/>
    <mergeCell ref="B4:F4"/>
    <mergeCell ref="B14:F14"/>
    <mergeCell ref="B15:F15"/>
    <mergeCell ref="C38:D38"/>
    <mergeCell ref="C39:D39"/>
    <mergeCell ref="C40:D40"/>
    <mergeCell ref="C41:D41"/>
    <mergeCell ref="B44:C44"/>
    <mergeCell ref="C50:D50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4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485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486</v>
      </c>
      <c r="D6" s="28" t="s">
        <v>487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242</v>
      </c>
      <c r="D7" s="28" t="s">
        <v>488</v>
      </c>
      <c r="E7" s="29" t="s">
        <v>175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489</v>
      </c>
      <c r="D8" s="28" t="s">
        <v>490</v>
      </c>
      <c r="E8" s="29" t="s">
        <v>175</v>
      </c>
      <c r="F8" s="30" t="n">
        <v>0</v>
      </c>
    </row>
    <row r="9" customFormat="false" ht="57" hidden="false" customHeight="true" outlineLevel="0" collapsed="false">
      <c r="B9" s="31" t="s">
        <v>169</v>
      </c>
      <c r="C9" s="32" t="s">
        <v>491</v>
      </c>
      <c r="D9" s="32" t="s">
        <v>492</v>
      </c>
      <c r="E9" s="33" t="s">
        <v>123</v>
      </c>
      <c r="F9" s="34" t="n">
        <v>0</v>
      </c>
    </row>
    <row r="12" customFormat="false" ht="48.75" hidden="false" customHeight="true" outlineLevel="0" collapsed="false">
      <c r="B12" s="35" t="s">
        <v>127</v>
      </c>
      <c r="C12" s="35"/>
      <c r="D12" s="35"/>
      <c r="E12" s="35"/>
      <c r="F12" s="35"/>
    </row>
    <row r="13" customFormat="false" ht="48" hidden="false" customHeight="true" outlineLevel="0" collapsed="false">
      <c r="B13" s="23" t="s">
        <v>493</v>
      </c>
      <c r="C13" s="23"/>
      <c r="D13" s="23"/>
      <c r="E13" s="23"/>
      <c r="F13" s="23"/>
    </row>
    <row r="14" customFormat="false" ht="22.5" hidden="false" customHeight="true" outlineLevel="0" collapsed="false">
      <c r="B14" s="24" t="s">
        <v>116</v>
      </c>
      <c r="C14" s="25" t="s">
        <v>129</v>
      </c>
      <c r="D14" s="25" t="s">
        <v>118</v>
      </c>
      <c r="E14" s="25" t="s">
        <v>119</v>
      </c>
      <c r="F14" s="26" t="s">
        <v>75</v>
      </c>
    </row>
    <row r="15" customFormat="false" ht="42" hidden="false" customHeight="true" outlineLevel="0" collapsed="false">
      <c r="B15" s="27" t="s">
        <v>130</v>
      </c>
      <c r="C15" s="28" t="str">
        <f aca="false">'RNF Accesibilidad'!C6</f>
        <v>Estándar de accesibilidad</v>
      </c>
      <c r="D15" s="28" t="str">
        <f aca="false">'RNF Accesibilidad'!D6</f>
        <v>Las interfaces cumplen las pautas WCAG 2.1 nivel AA.</v>
      </c>
      <c r="E15" s="29" t="str">
        <f aca="false">'RNF Accesibilidad'!E6</f>
        <v>Alta</v>
      </c>
      <c r="F15" s="30" t="n">
        <f aca="false">'RNF Accesibilidad'!F6</f>
        <v>0</v>
      </c>
    </row>
    <row r="16" customFormat="false" ht="72" hidden="false" customHeight="true" outlineLevel="0" collapsed="false">
      <c r="B16" s="27" t="s">
        <v>131</v>
      </c>
      <c r="C16" s="28" t="str">
        <f aca="false">'RNF Accesibilidad'!C7</f>
        <v>Lectores de pantalla</v>
      </c>
      <c r="D16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6" s="29" t="str">
        <f aca="false">'RNF Accesibilidad'!E7</f>
        <v>Alta</v>
      </c>
      <c r="F16" s="30" t="n">
        <f aca="false">'RNF Accesibilidad'!F7</f>
        <v>0</v>
      </c>
    </row>
    <row r="17" customFormat="false" ht="42" hidden="false" customHeight="true" outlineLevel="0" collapsed="false">
      <c r="B17" s="27" t="s">
        <v>132</v>
      </c>
      <c r="C17" s="28" t="str">
        <f aca="false">'RNF Accesibilidad'!C8</f>
        <v>Contraste</v>
      </c>
      <c r="D17" s="28" t="str">
        <f aca="false">'RNF Accesibilidad'!D8</f>
        <v>Contraste mínimo de 4.5:1 para texto normal y 3:1 para texto grande y componentes de interfaz.</v>
      </c>
      <c r="E17" s="29" t="str">
        <f aca="false">'RNF Accesibilidad'!E8</f>
        <v>Alta</v>
      </c>
      <c r="F17" s="30" t="n">
        <f aca="false">'RNF Accesibilidad'!F8</f>
        <v>0</v>
      </c>
    </row>
    <row r="18" customFormat="false" ht="57" hidden="false" customHeight="true" outlineLevel="0" collapsed="false">
      <c r="B18" s="27" t="s">
        <v>133</v>
      </c>
      <c r="C18" s="28" t="str">
        <f aca="false">'RNF Accesibilidad'!C9</f>
        <v>Texto escalable</v>
      </c>
      <c r="D18" s="28" t="str">
        <f aca="false">'RNF Accesibilidad'!D9</f>
        <v>La interfaz respeta el tamaño de fuente del sistema y admite hasta 200 % de ampliación sin pérdida de contenido ni funcionalidad.</v>
      </c>
      <c r="E18" s="29" t="str">
        <f aca="false">'RNF Accesibilidad'!E9</f>
        <v>Alta</v>
      </c>
      <c r="F18" s="30" t="n">
        <f aca="false">'RNF Accesibilidad'!F9</f>
        <v>0</v>
      </c>
    </row>
    <row r="19" customFormat="false" ht="42" hidden="false" customHeight="true" outlineLevel="0" collapsed="false">
      <c r="B19" s="27" t="s">
        <v>134</v>
      </c>
      <c r="C19" s="28" t="str">
        <f aca="false">'RNF Accesibilidad'!C10</f>
        <v>Áreas táctiles</v>
      </c>
      <c r="D19" s="28" t="str">
        <f aca="false">'RNF Accesibilidad'!D10</f>
        <v>Los componentes táctiles tienen un área mínima de 48 × 48 dp en Android y 44 × 44 pt en iOS.</v>
      </c>
      <c r="E19" s="29" t="str">
        <f aca="false">'RNF Accesibilidad'!E10</f>
        <v>Alta</v>
      </c>
      <c r="F19" s="30" t="n">
        <f aca="false">'RNF Accesibilidad'!F10</f>
        <v>0</v>
      </c>
    </row>
    <row r="20" customFormat="false" ht="42" hidden="false" customHeight="true" outlineLevel="0" collapsed="false">
      <c r="B20" s="27" t="s">
        <v>135</v>
      </c>
      <c r="C20" s="28" t="str">
        <f aca="false">'RNF Accesibilidad'!C11</f>
        <v>Información no dependiente del color</v>
      </c>
      <c r="D20" s="28" t="str">
        <f aca="false">'RNF Accesibilidad'!D11</f>
        <v>Estados, errores y porcentajes se comunican con texto o ícono además del color.</v>
      </c>
      <c r="E20" s="29" t="str">
        <f aca="false">'RNF Accesibilidad'!E11</f>
        <v>Alta</v>
      </c>
      <c r="F20" s="30" t="n">
        <f aca="false">'RNF Accesibilidad'!F11</f>
        <v>0</v>
      </c>
    </row>
    <row r="21" customFormat="false" ht="57" hidden="false" customHeight="true" outlineLevel="0" collapsed="false">
      <c r="B21" s="27" t="s">
        <v>136</v>
      </c>
      <c r="C21" s="28" t="str">
        <f aca="false">'RNF Accesibilidad'!C12</f>
        <v>Navegación por teclado</v>
      </c>
      <c r="D21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1" s="29" t="str">
        <f aca="false">'RNF Accesibilidad'!E12</f>
        <v>Alta</v>
      </c>
      <c r="F21" s="30" t="n">
        <f aca="false">'RNF Accesibilidad'!F12</f>
        <v>0</v>
      </c>
    </row>
    <row r="22" customFormat="false" ht="42" hidden="false" customHeight="true" outlineLevel="0" collapsed="false">
      <c r="B22" s="27" t="s">
        <v>137</v>
      </c>
      <c r="C22" s="28" t="str">
        <f aca="false">'RNF Accesibilidad'!C13</f>
        <v>Lenguaje claro</v>
      </c>
      <c r="D22" s="28" t="str">
        <f aca="false">'RNF Accesibilidad'!D13</f>
        <v>Textos en lenguaje claro y sin tecnicismos; los errores de formulario indican qué campo falla y cómo corregirlo.</v>
      </c>
      <c r="E22" s="29" t="str">
        <f aca="false">'RNF Accesibilidad'!E13</f>
        <v>Media</v>
      </c>
      <c r="F22" s="30" t="n">
        <f aca="false">'RNF Accesibilidad'!F13</f>
        <v>0</v>
      </c>
    </row>
    <row r="23" customFormat="false" ht="42" hidden="false" customHeight="true" outlineLevel="0" collapsed="false">
      <c r="B23" s="27" t="s">
        <v>138</v>
      </c>
      <c r="C23" s="28" t="str">
        <f aca="false">'RNF Accesibilidad'!C14</f>
        <v>Movimiento reducido</v>
      </c>
      <c r="D23" s="28" t="str">
        <f aca="false">'RNF Accesibilidad'!D14</f>
        <v>Se respeta la preferencia de «reducir movimiento» del sistema y no hay contenido parpadeante.</v>
      </c>
      <c r="E23" s="29" t="str">
        <f aca="false">'RNF Accesibilidad'!E14</f>
        <v>Baja</v>
      </c>
      <c r="F23" s="30" t="n">
        <f aca="false">'RNF Accesibilidad'!F14</f>
        <v>0</v>
      </c>
    </row>
    <row r="24" customFormat="false" ht="42" hidden="false" customHeight="true" outlineLevel="0" collapsed="false">
      <c r="B24" s="27" t="s">
        <v>466</v>
      </c>
      <c r="C24" s="28" t="str">
        <f aca="false">'RNF CRUD Web'!C6</f>
        <v>Desempeño</v>
      </c>
      <c r="D24" s="28" t="str">
        <f aca="false">'RNF CRUD Web'!D6</f>
        <v>Listados paginados de 25 registros con tiempo de respuesta ≤ 1 s.</v>
      </c>
      <c r="E24" s="29" t="str">
        <f aca="false">'RNF CRUD Web'!E6</f>
        <v>Alta</v>
      </c>
      <c r="F24" s="30" t="n">
        <f aca="false">'RNF CRUD Web'!F6</f>
        <v>0</v>
      </c>
    </row>
    <row r="25" customFormat="false" ht="42" hidden="false" customHeight="true" outlineLevel="0" collapsed="false">
      <c r="B25" s="27" t="s">
        <v>467</v>
      </c>
      <c r="C25" s="28" t="str">
        <f aca="false">'RNF CRUD Web'!C7</f>
        <v>Validación</v>
      </c>
      <c r="D25" s="28" t="str">
        <f aca="false">'RNF CRUD Web'!D7</f>
        <v>Validación en cliente y servidor con mensajes específicos por campo.</v>
      </c>
      <c r="E25" s="29" t="str">
        <f aca="false">'RNF CRUD Web'!E7</f>
        <v>Alta</v>
      </c>
      <c r="F25" s="30" t="n">
        <f aca="false">'RNF CRUD Web'!F7</f>
        <v>0</v>
      </c>
    </row>
    <row r="26" customFormat="false" ht="42" hidden="false" customHeight="true" outlineLevel="0" collapsed="false">
      <c r="B26" s="27" t="s">
        <v>468</v>
      </c>
      <c r="C26" s="28" t="str">
        <f aca="false">'RNF CRUD Web'!C8</f>
        <v>Compatibilidad</v>
      </c>
      <c r="D26" s="28" t="str">
        <f aca="false">'RNF CRUD Web'!D8</f>
        <v>Funciona en Chrome, Firefox y Edge en sus dos versiones más recientes, en resoluciones desde 1280 px de ancho.</v>
      </c>
      <c r="E26" s="29" t="str">
        <f aca="false">'RNF CRUD Web'!E8</f>
        <v>Media</v>
      </c>
      <c r="F26" s="30" t="n">
        <f aca="false">'RNF CRUD Web'!F8</f>
        <v>0</v>
      </c>
    </row>
    <row r="27" customFormat="false" ht="57" hidden="false" customHeight="true" outlineLevel="0" collapsed="false">
      <c r="B27" s="27" t="s">
        <v>469</v>
      </c>
      <c r="C27" s="28" t="str">
        <f aca="false">'RNF CRUD Web'!C9</f>
        <v>Auditoría</v>
      </c>
      <c r="D27" s="28" t="str">
        <f aca="false">'RNF CRUD Web'!D9</f>
        <v>Toda creación, edición, validación, suspensión o cambio de estado queda registrado en bitácora con usuario, fecha y hora, valor anterior y valor nuevo.</v>
      </c>
      <c r="E27" s="29" t="str">
        <f aca="false">'RNF CRUD Web'!E9</f>
        <v>Alta</v>
      </c>
      <c r="F27" s="30" t="n">
        <f aca="false">'RNF CRUD Web'!F9</f>
        <v>0</v>
      </c>
    </row>
    <row r="28" customFormat="false" ht="42" hidden="false" customHeight="true" outlineLevel="0" collapsed="false">
      <c r="B28" s="31" t="s">
        <v>470</v>
      </c>
      <c r="C28" s="32" t="str">
        <f aca="false">'RNF CRUD Web'!C10</f>
        <v>Confirmación de acciones críticas</v>
      </c>
      <c r="D28" s="32" t="str">
        <f aca="false">'RNF CRUD Web'!D10</f>
        <v>Suspender, rechazar o dar de baja requiere confirmación y motivo.</v>
      </c>
      <c r="E28" s="33" t="str">
        <f aca="false">'RNF CRUD Web'!E10</f>
        <v>Media</v>
      </c>
      <c r="F28" s="34" t="n">
        <f aca="false">'RNF CRUD Web'!F10</f>
        <v>0</v>
      </c>
    </row>
    <row r="29" customFormat="false" ht="15" hidden="false" customHeight="false" outlineLevel="0" collapsed="false">
      <c r="B29" s="36" t="s">
        <v>144</v>
      </c>
    </row>
    <row r="32" customFormat="false" ht="15" hidden="false" customHeight="true" outlineLevel="0" collapsed="false">
      <c r="B32" s="37" t="s">
        <v>145</v>
      </c>
      <c r="C32" s="38" t="s">
        <v>146</v>
      </c>
      <c r="D32" s="38"/>
    </row>
    <row r="33" customFormat="false" ht="15" hidden="false" customHeight="true" outlineLevel="0" collapsed="false">
      <c r="B33" s="39" t="s">
        <v>147</v>
      </c>
      <c r="C33" s="40" t="s">
        <v>148</v>
      </c>
      <c r="D33" s="40"/>
    </row>
    <row r="34" customFormat="false" ht="15" hidden="false" customHeight="true" outlineLevel="0" collapsed="false">
      <c r="B34" s="39" t="s">
        <v>149</v>
      </c>
      <c r="C34" s="40" t="s">
        <v>150</v>
      </c>
      <c r="D34" s="40"/>
    </row>
    <row r="35" customFormat="false" ht="15" hidden="false" customHeight="true" outlineLevel="0" collapsed="false">
      <c r="B35" s="41" t="s">
        <v>151</v>
      </c>
      <c r="C35" s="42" t="s">
        <v>152</v>
      </c>
      <c r="D35" s="42"/>
    </row>
    <row r="38" customFormat="false" ht="15" hidden="false" customHeight="false" outlineLevel="0" collapsed="false">
      <c r="B38" s="43" t="s">
        <v>153</v>
      </c>
      <c r="C38" s="43"/>
    </row>
    <row r="39" customFormat="false" ht="15" hidden="false" customHeight="false" outlineLevel="0" collapsed="false">
      <c r="B39" s="44" t="s">
        <v>154</v>
      </c>
      <c r="C39" s="45" t="s">
        <v>155</v>
      </c>
    </row>
    <row r="40" customFormat="false" ht="15" hidden="false" customHeight="false" outlineLevel="0" collapsed="false">
      <c r="B40" s="46" t="s">
        <v>156</v>
      </c>
      <c r="C40" s="45" t="s">
        <v>157</v>
      </c>
    </row>
    <row r="41" customFormat="false" ht="15" hidden="false" customHeight="false" outlineLevel="0" collapsed="false">
      <c r="B41" s="47" t="s">
        <v>158</v>
      </c>
      <c r="C41" s="48" t="s">
        <v>159</v>
      </c>
    </row>
    <row r="44" customFormat="false" ht="30" hidden="false" customHeight="true" outlineLevel="0" collapsed="false">
      <c r="B44" s="49" t="s">
        <v>160</v>
      </c>
      <c r="C44" s="50"/>
      <c r="D44" s="50"/>
    </row>
  </sheetData>
  <mergeCells count="10">
    <mergeCell ref="B3:F3"/>
    <mergeCell ref="B4:F4"/>
    <mergeCell ref="B12:F12"/>
    <mergeCell ref="B13:F13"/>
    <mergeCell ref="C32:D32"/>
    <mergeCell ref="C33:D33"/>
    <mergeCell ref="C34:D34"/>
    <mergeCell ref="C35:D35"/>
    <mergeCell ref="B38:C38"/>
    <mergeCell ref="C44:D44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5:F28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494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120</v>
      </c>
      <c r="C6" s="28" t="s">
        <v>495</v>
      </c>
      <c r="D6" s="28" t="s">
        <v>496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299</v>
      </c>
      <c r="D7" s="28" t="s">
        <v>497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498</v>
      </c>
      <c r="D8" s="28" t="s">
        <v>499</v>
      </c>
      <c r="E8" s="29" t="s">
        <v>123</v>
      </c>
      <c r="F8" s="30" t="n">
        <v>0</v>
      </c>
    </row>
    <row r="9" customFormat="false" ht="42" hidden="false" customHeight="true" outlineLevel="0" collapsed="false">
      <c r="B9" s="31" t="s">
        <v>169</v>
      </c>
      <c r="C9" s="32" t="s">
        <v>500</v>
      </c>
      <c r="D9" s="32" t="s">
        <v>501</v>
      </c>
      <c r="E9" s="33" t="s">
        <v>215</v>
      </c>
      <c r="F9" s="34" t="n">
        <v>0</v>
      </c>
    </row>
    <row r="12" customFormat="false" ht="48.75" hidden="false" customHeight="true" outlineLevel="0" collapsed="false">
      <c r="B12" s="35" t="s">
        <v>127</v>
      </c>
      <c r="C12" s="35"/>
      <c r="D12" s="35"/>
      <c r="E12" s="35"/>
      <c r="F12" s="35"/>
    </row>
    <row r="13" customFormat="false" ht="48" hidden="false" customHeight="true" outlineLevel="0" collapsed="false">
      <c r="B13" s="23" t="s">
        <v>502</v>
      </c>
      <c r="C13" s="23"/>
      <c r="D13" s="23"/>
      <c r="E13" s="23"/>
      <c r="F13" s="23"/>
    </row>
    <row r="14" customFormat="false" ht="22.5" hidden="false" customHeight="true" outlineLevel="0" collapsed="false">
      <c r="B14" s="24" t="s">
        <v>116</v>
      </c>
      <c r="C14" s="25" t="s">
        <v>129</v>
      </c>
      <c r="D14" s="25" t="s">
        <v>118</v>
      </c>
      <c r="E14" s="25" t="s">
        <v>119</v>
      </c>
      <c r="F14" s="26" t="s">
        <v>75</v>
      </c>
    </row>
    <row r="15" customFormat="false" ht="42" hidden="false" customHeight="true" outlineLevel="0" collapsed="false">
      <c r="B15" s="27" t="s">
        <v>130</v>
      </c>
      <c r="C15" s="28" t="str">
        <f aca="false">'RNF Accesibilidad'!C6</f>
        <v>Estándar de accesibilidad</v>
      </c>
      <c r="D15" s="28" t="str">
        <f aca="false">'RNF Accesibilidad'!D6</f>
        <v>Las interfaces cumplen las pautas WCAG 2.1 nivel AA.</v>
      </c>
      <c r="E15" s="29" t="str">
        <f aca="false">'RNF Accesibilidad'!E6</f>
        <v>Alta</v>
      </c>
      <c r="F15" s="30" t="n">
        <f aca="false">'RNF Accesibilidad'!F6</f>
        <v>0</v>
      </c>
    </row>
    <row r="16" customFormat="false" ht="72" hidden="false" customHeight="true" outlineLevel="0" collapsed="false">
      <c r="B16" s="27" t="s">
        <v>131</v>
      </c>
      <c r="C16" s="28" t="str">
        <f aca="false">'RNF Accesibilidad'!C7</f>
        <v>Lectores de pantalla</v>
      </c>
      <c r="D16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6" s="29" t="str">
        <f aca="false">'RNF Accesibilidad'!E7</f>
        <v>Alta</v>
      </c>
      <c r="F16" s="30" t="n">
        <f aca="false">'RNF Accesibilidad'!F7</f>
        <v>0</v>
      </c>
    </row>
    <row r="17" customFormat="false" ht="42" hidden="false" customHeight="true" outlineLevel="0" collapsed="false">
      <c r="B17" s="27" t="s">
        <v>132</v>
      </c>
      <c r="C17" s="28" t="str">
        <f aca="false">'RNF Accesibilidad'!C8</f>
        <v>Contraste</v>
      </c>
      <c r="D17" s="28" t="str">
        <f aca="false">'RNF Accesibilidad'!D8</f>
        <v>Contraste mínimo de 4.5:1 para texto normal y 3:1 para texto grande y componentes de interfaz.</v>
      </c>
      <c r="E17" s="29" t="str">
        <f aca="false">'RNF Accesibilidad'!E8</f>
        <v>Alta</v>
      </c>
      <c r="F17" s="30" t="n">
        <f aca="false">'RNF Accesibilidad'!F8</f>
        <v>0</v>
      </c>
    </row>
    <row r="18" customFormat="false" ht="57" hidden="false" customHeight="true" outlineLevel="0" collapsed="false">
      <c r="B18" s="27" t="s">
        <v>133</v>
      </c>
      <c r="C18" s="28" t="str">
        <f aca="false">'RNF Accesibilidad'!C9</f>
        <v>Texto escalable</v>
      </c>
      <c r="D18" s="28" t="str">
        <f aca="false">'RNF Accesibilidad'!D9</f>
        <v>La interfaz respeta el tamaño de fuente del sistema y admite hasta 200 % de ampliación sin pérdida de contenido ni funcionalidad.</v>
      </c>
      <c r="E18" s="29" t="str">
        <f aca="false">'RNF Accesibilidad'!E9</f>
        <v>Alta</v>
      </c>
      <c r="F18" s="30" t="n">
        <f aca="false">'RNF Accesibilidad'!F9</f>
        <v>0</v>
      </c>
    </row>
    <row r="19" customFormat="false" ht="42" hidden="false" customHeight="true" outlineLevel="0" collapsed="false">
      <c r="B19" s="27" t="s">
        <v>134</v>
      </c>
      <c r="C19" s="28" t="str">
        <f aca="false">'RNF Accesibilidad'!C10</f>
        <v>Áreas táctiles</v>
      </c>
      <c r="D19" s="28" t="str">
        <f aca="false">'RNF Accesibilidad'!D10</f>
        <v>Los componentes táctiles tienen un área mínima de 48 × 48 dp en Android y 44 × 44 pt en iOS.</v>
      </c>
      <c r="E19" s="29" t="str">
        <f aca="false">'RNF Accesibilidad'!E10</f>
        <v>Alta</v>
      </c>
      <c r="F19" s="30" t="n">
        <f aca="false">'RNF Accesibilidad'!F10</f>
        <v>0</v>
      </c>
    </row>
    <row r="20" customFormat="false" ht="42" hidden="false" customHeight="true" outlineLevel="0" collapsed="false">
      <c r="B20" s="27" t="s">
        <v>135</v>
      </c>
      <c r="C20" s="28" t="str">
        <f aca="false">'RNF Accesibilidad'!C11</f>
        <v>Información no dependiente del color</v>
      </c>
      <c r="D20" s="28" t="str">
        <f aca="false">'RNF Accesibilidad'!D11</f>
        <v>Estados, errores y porcentajes se comunican con texto o ícono además del color.</v>
      </c>
      <c r="E20" s="29" t="str">
        <f aca="false">'RNF Accesibilidad'!E11</f>
        <v>Alta</v>
      </c>
      <c r="F20" s="30" t="n">
        <f aca="false">'RNF Accesibilidad'!F11</f>
        <v>0</v>
      </c>
    </row>
    <row r="21" customFormat="false" ht="57" hidden="false" customHeight="true" outlineLevel="0" collapsed="false">
      <c r="B21" s="27" t="s">
        <v>136</v>
      </c>
      <c r="C21" s="28" t="str">
        <f aca="false">'RNF Accesibilidad'!C12</f>
        <v>Navegación por teclado</v>
      </c>
      <c r="D21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1" s="29" t="str">
        <f aca="false">'RNF Accesibilidad'!E12</f>
        <v>Alta</v>
      </c>
      <c r="F21" s="30" t="n">
        <f aca="false">'RNF Accesibilidad'!F12</f>
        <v>0</v>
      </c>
    </row>
    <row r="22" customFormat="false" ht="42" hidden="false" customHeight="true" outlineLevel="0" collapsed="false">
      <c r="B22" s="27" t="s">
        <v>137</v>
      </c>
      <c r="C22" s="28" t="str">
        <f aca="false">'RNF Accesibilidad'!C13</f>
        <v>Lenguaje claro</v>
      </c>
      <c r="D22" s="28" t="str">
        <f aca="false">'RNF Accesibilidad'!D13</f>
        <v>Textos en lenguaje claro y sin tecnicismos; los errores de formulario indican qué campo falla y cómo corregirlo.</v>
      </c>
      <c r="E22" s="29" t="str">
        <f aca="false">'RNF Accesibilidad'!E13</f>
        <v>Media</v>
      </c>
      <c r="F22" s="30" t="n">
        <f aca="false">'RNF Accesibilidad'!F13</f>
        <v>0</v>
      </c>
    </row>
    <row r="23" customFormat="false" ht="42" hidden="false" customHeight="true" outlineLevel="0" collapsed="false">
      <c r="B23" s="27" t="s">
        <v>138</v>
      </c>
      <c r="C23" s="28" t="str">
        <f aca="false">'RNF Accesibilidad'!C14</f>
        <v>Movimiento reducido</v>
      </c>
      <c r="D23" s="28" t="str">
        <f aca="false">'RNF Accesibilidad'!D14</f>
        <v>Se respeta la preferencia de «reducir movimiento» del sistema y no hay contenido parpadeante.</v>
      </c>
      <c r="E23" s="29" t="str">
        <f aca="false">'RNF Accesibilidad'!E14</f>
        <v>Baja</v>
      </c>
      <c r="F23" s="30" t="n">
        <f aca="false">'RNF Accesibilidad'!F14</f>
        <v>0</v>
      </c>
    </row>
    <row r="24" customFormat="false" ht="42" hidden="false" customHeight="true" outlineLevel="0" collapsed="false">
      <c r="B24" s="27" t="s">
        <v>466</v>
      </c>
      <c r="C24" s="28" t="str">
        <f aca="false">'RNF CRUD Web'!C6</f>
        <v>Desempeño</v>
      </c>
      <c r="D24" s="28" t="str">
        <f aca="false">'RNF CRUD Web'!D6</f>
        <v>Listados paginados de 25 registros con tiempo de respuesta ≤ 1 s.</v>
      </c>
      <c r="E24" s="29" t="str">
        <f aca="false">'RNF CRUD Web'!E6</f>
        <v>Alta</v>
      </c>
      <c r="F24" s="30" t="n">
        <f aca="false">'RNF CRUD Web'!F6</f>
        <v>0</v>
      </c>
    </row>
    <row r="25" customFormat="false" ht="42" hidden="false" customHeight="true" outlineLevel="0" collapsed="false">
      <c r="B25" s="27" t="s">
        <v>467</v>
      </c>
      <c r="C25" s="28" t="str">
        <f aca="false">'RNF CRUD Web'!C7</f>
        <v>Validación</v>
      </c>
      <c r="D25" s="28" t="str">
        <f aca="false">'RNF CRUD Web'!D7</f>
        <v>Validación en cliente y servidor con mensajes específicos por campo.</v>
      </c>
      <c r="E25" s="29" t="str">
        <f aca="false">'RNF CRUD Web'!E7</f>
        <v>Alta</v>
      </c>
      <c r="F25" s="30" t="n">
        <f aca="false">'RNF CRUD Web'!F7</f>
        <v>0</v>
      </c>
    </row>
    <row r="26" customFormat="false" ht="42" hidden="false" customHeight="true" outlineLevel="0" collapsed="false">
      <c r="B26" s="27" t="s">
        <v>468</v>
      </c>
      <c r="C26" s="28" t="str">
        <f aca="false">'RNF CRUD Web'!C8</f>
        <v>Compatibilidad</v>
      </c>
      <c r="D26" s="28" t="str">
        <f aca="false">'RNF CRUD Web'!D8</f>
        <v>Funciona en Chrome, Firefox y Edge en sus dos versiones más recientes, en resoluciones desde 1280 px de ancho.</v>
      </c>
      <c r="E26" s="29" t="str">
        <f aca="false">'RNF CRUD Web'!E8</f>
        <v>Media</v>
      </c>
      <c r="F26" s="30" t="n">
        <f aca="false">'RNF CRUD Web'!F8</f>
        <v>0</v>
      </c>
    </row>
    <row r="27" customFormat="false" ht="57" hidden="false" customHeight="true" outlineLevel="0" collapsed="false">
      <c r="B27" s="27" t="s">
        <v>469</v>
      </c>
      <c r="C27" s="28" t="str">
        <f aca="false">'RNF CRUD Web'!C9</f>
        <v>Auditoría</v>
      </c>
      <c r="D27" s="28" t="str">
        <f aca="false">'RNF CRUD Web'!D9</f>
        <v>Toda creación, edición, validación, suspensión o cambio de estado queda registrado en bitácora con usuario, fecha y hora, valor anterior y valor nuevo.</v>
      </c>
      <c r="E27" s="29" t="str">
        <f aca="false">'RNF CRUD Web'!E9</f>
        <v>Alta</v>
      </c>
      <c r="F27" s="30" t="n">
        <f aca="false">'RNF CRUD Web'!F9</f>
        <v>0</v>
      </c>
    </row>
    <row r="28" customFormat="false" ht="42" hidden="false" customHeight="true" outlineLevel="0" collapsed="false">
      <c r="B28" s="31" t="s">
        <v>470</v>
      </c>
      <c r="C28" s="32" t="str">
        <f aca="false">'RNF CRUD Web'!C10</f>
        <v>Confirmación de acciones críticas</v>
      </c>
      <c r="D28" s="32" t="str">
        <f aca="false">'RNF CRUD Web'!D10</f>
        <v>Suspender, rechazar o dar de baja requiere confirmación y motivo.</v>
      </c>
      <c r="E28" s="33" t="str">
        <f aca="false">'RNF CRUD Web'!E10</f>
        <v>Media</v>
      </c>
      <c r="F28" s="34" t="n">
        <f aca="false">'RNF CRUD Web'!F10</f>
        <v>0</v>
      </c>
    </row>
    <row r="29" customFormat="false" ht="15" hidden="false" customHeight="false" outlineLevel="0" collapsed="false">
      <c r="B29" s="36" t="s">
        <v>144</v>
      </c>
    </row>
    <row r="32" customFormat="false" ht="15" hidden="false" customHeight="true" outlineLevel="0" collapsed="false">
      <c r="B32" s="37" t="s">
        <v>145</v>
      </c>
      <c r="C32" s="38" t="s">
        <v>146</v>
      </c>
      <c r="D32" s="38"/>
    </row>
    <row r="33" customFormat="false" ht="15" hidden="false" customHeight="true" outlineLevel="0" collapsed="false">
      <c r="B33" s="39" t="s">
        <v>147</v>
      </c>
      <c r="C33" s="40" t="s">
        <v>148</v>
      </c>
      <c r="D33" s="40"/>
    </row>
    <row r="34" customFormat="false" ht="15" hidden="false" customHeight="true" outlineLevel="0" collapsed="false">
      <c r="B34" s="39" t="s">
        <v>149</v>
      </c>
      <c r="C34" s="40" t="s">
        <v>150</v>
      </c>
      <c r="D34" s="40"/>
    </row>
    <row r="35" customFormat="false" ht="15" hidden="false" customHeight="true" outlineLevel="0" collapsed="false">
      <c r="B35" s="41" t="s">
        <v>151</v>
      </c>
      <c r="C35" s="42" t="s">
        <v>152</v>
      </c>
      <c r="D35" s="42"/>
    </row>
    <row r="38" customFormat="false" ht="15" hidden="false" customHeight="false" outlineLevel="0" collapsed="false">
      <c r="B38" s="43" t="s">
        <v>153</v>
      </c>
      <c r="C38" s="43"/>
    </row>
    <row r="39" customFormat="false" ht="15" hidden="false" customHeight="false" outlineLevel="0" collapsed="false">
      <c r="B39" s="44" t="s">
        <v>154</v>
      </c>
      <c r="C39" s="45" t="s">
        <v>155</v>
      </c>
    </row>
    <row r="40" customFormat="false" ht="15" hidden="false" customHeight="false" outlineLevel="0" collapsed="false">
      <c r="B40" s="46" t="s">
        <v>156</v>
      </c>
      <c r="C40" s="45" t="s">
        <v>157</v>
      </c>
    </row>
    <row r="41" customFormat="false" ht="15" hidden="false" customHeight="false" outlineLevel="0" collapsed="false">
      <c r="B41" s="47" t="s">
        <v>158</v>
      </c>
      <c r="C41" s="48" t="s">
        <v>159</v>
      </c>
    </row>
    <row r="44" customFormat="false" ht="30" hidden="false" customHeight="true" outlineLevel="0" collapsed="false">
      <c r="B44" s="49" t="s">
        <v>160</v>
      </c>
      <c r="C44" s="50"/>
      <c r="D44" s="50"/>
    </row>
  </sheetData>
  <mergeCells count="10">
    <mergeCell ref="B3:F3"/>
    <mergeCell ref="B4:F4"/>
    <mergeCell ref="B12:F12"/>
    <mergeCell ref="B13:F13"/>
    <mergeCell ref="C32:D32"/>
    <mergeCell ref="C33:D33"/>
    <mergeCell ref="C34:D34"/>
    <mergeCell ref="C35:D35"/>
    <mergeCell ref="B38:C38"/>
    <mergeCell ref="C44:D44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5:F28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503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72" hidden="false" customHeight="true" outlineLevel="0" collapsed="false">
      <c r="B6" s="27" t="s">
        <v>120</v>
      </c>
      <c r="C6" s="28" t="s">
        <v>504</v>
      </c>
      <c r="D6" s="28" t="s">
        <v>505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124</v>
      </c>
      <c r="C7" s="28" t="s">
        <v>506</v>
      </c>
      <c r="D7" s="28" t="s">
        <v>507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508</v>
      </c>
      <c r="D8" s="28" t="s">
        <v>509</v>
      </c>
      <c r="E8" s="29" t="s">
        <v>175</v>
      </c>
      <c r="F8" s="30" t="n">
        <v>0</v>
      </c>
    </row>
    <row r="9" customFormat="false" ht="42" hidden="false" customHeight="true" outlineLevel="0" collapsed="false">
      <c r="B9" s="31" t="s">
        <v>169</v>
      </c>
      <c r="C9" s="32" t="s">
        <v>510</v>
      </c>
      <c r="D9" s="32" t="s">
        <v>511</v>
      </c>
      <c r="E9" s="33" t="s">
        <v>123</v>
      </c>
      <c r="F9" s="34" t="n">
        <v>0</v>
      </c>
    </row>
    <row r="12" customFormat="false" ht="48.75" hidden="false" customHeight="true" outlineLevel="0" collapsed="false">
      <c r="B12" s="35" t="s">
        <v>127</v>
      </c>
      <c r="C12" s="35"/>
      <c r="D12" s="35"/>
      <c r="E12" s="35"/>
      <c r="F12" s="35"/>
    </row>
    <row r="13" customFormat="false" ht="31.5" hidden="false" customHeight="true" outlineLevel="0" collapsed="false">
      <c r="B13" s="23" t="s">
        <v>512</v>
      </c>
      <c r="C13" s="23"/>
      <c r="D13" s="23"/>
      <c r="E13" s="23"/>
      <c r="F13" s="23"/>
    </row>
    <row r="14" customFormat="false" ht="22.5" hidden="false" customHeight="true" outlineLevel="0" collapsed="false">
      <c r="B14" s="24" t="s">
        <v>116</v>
      </c>
      <c r="C14" s="25" t="s">
        <v>129</v>
      </c>
      <c r="D14" s="25" t="s">
        <v>118</v>
      </c>
      <c r="E14" s="25" t="s">
        <v>119</v>
      </c>
      <c r="F14" s="26" t="s">
        <v>75</v>
      </c>
    </row>
    <row r="15" customFormat="false" ht="42" hidden="false" customHeight="true" outlineLevel="0" collapsed="false">
      <c r="B15" s="27" t="s">
        <v>130</v>
      </c>
      <c r="C15" s="28" t="str">
        <f aca="false">'RNF Accesibilidad'!C6</f>
        <v>Estándar de accesibilidad</v>
      </c>
      <c r="D15" s="28" t="str">
        <f aca="false">'RNF Accesibilidad'!D6</f>
        <v>Las interfaces cumplen las pautas WCAG 2.1 nivel AA.</v>
      </c>
      <c r="E15" s="29" t="str">
        <f aca="false">'RNF Accesibilidad'!E6</f>
        <v>Alta</v>
      </c>
      <c r="F15" s="30" t="n">
        <f aca="false">'RNF Accesibilidad'!F6</f>
        <v>0</v>
      </c>
    </row>
    <row r="16" customFormat="false" ht="72" hidden="false" customHeight="true" outlineLevel="0" collapsed="false">
      <c r="B16" s="27" t="s">
        <v>131</v>
      </c>
      <c r="C16" s="28" t="str">
        <f aca="false">'RNF Accesibilidad'!C7</f>
        <v>Lectores de pantalla</v>
      </c>
      <c r="D16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6" s="29" t="str">
        <f aca="false">'RNF Accesibilidad'!E7</f>
        <v>Alta</v>
      </c>
      <c r="F16" s="30" t="n">
        <f aca="false">'RNF Accesibilidad'!F7</f>
        <v>0</v>
      </c>
    </row>
    <row r="17" customFormat="false" ht="42" hidden="false" customHeight="true" outlineLevel="0" collapsed="false">
      <c r="B17" s="27" t="s">
        <v>132</v>
      </c>
      <c r="C17" s="28" t="str">
        <f aca="false">'RNF Accesibilidad'!C8</f>
        <v>Contraste</v>
      </c>
      <c r="D17" s="28" t="str">
        <f aca="false">'RNF Accesibilidad'!D8</f>
        <v>Contraste mínimo de 4.5:1 para texto normal y 3:1 para texto grande y componentes de interfaz.</v>
      </c>
      <c r="E17" s="29" t="str">
        <f aca="false">'RNF Accesibilidad'!E8</f>
        <v>Alta</v>
      </c>
      <c r="F17" s="30" t="n">
        <f aca="false">'RNF Accesibilidad'!F8</f>
        <v>0</v>
      </c>
    </row>
    <row r="18" customFormat="false" ht="57" hidden="false" customHeight="true" outlineLevel="0" collapsed="false">
      <c r="B18" s="27" t="s">
        <v>133</v>
      </c>
      <c r="C18" s="28" t="str">
        <f aca="false">'RNF Accesibilidad'!C9</f>
        <v>Texto escalable</v>
      </c>
      <c r="D18" s="28" t="str">
        <f aca="false">'RNF Accesibilidad'!D9</f>
        <v>La interfaz respeta el tamaño de fuente del sistema y admite hasta 200 % de ampliación sin pérdida de contenido ni funcionalidad.</v>
      </c>
      <c r="E18" s="29" t="str">
        <f aca="false">'RNF Accesibilidad'!E9</f>
        <v>Alta</v>
      </c>
      <c r="F18" s="30" t="n">
        <f aca="false">'RNF Accesibilidad'!F9</f>
        <v>0</v>
      </c>
    </row>
    <row r="19" customFormat="false" ht="42" hidden="false" customHeight="true" outlineLevel="0" collapsed="false">
      <c r="B19" s="27" t="s">
        <v>134</v>
      </c>
      <c r="C19" s="28" t="str">
        <f aca="false">'RNF Accesibilidad'!C10</f>
        <v>Áreas táctiles</v>
      </c>
      <c r="D19" s="28" t="str">
        <f aca="false">'RNF Accesibilidad'!D10</f>
        <v>Los componentes táctiles tienen un área mínima de 48 × 48 dp en Android y 44 × 44 pt en iOS.</v>
      </c>
      <c r="E19" s="29" t="str">
        <f aca="false">'RNF Accesibilidad'!E10</f>
        <v>Alta</v>
      </c>
      <c r="F19" s="30" t="n">
        <f aca="false">'RNF Accesibilidad'!F10</f>
        <v>0</v>
      </c>
    </row>
    <row r="20" customFormat="false" ht="42" hidden="false" customHeight="true" outlineLevel="0" collapsed="false">
      <c r="B20" s="27" t="s">
        <v>135</v>
      </c>
      <c r="C20" s="28" t="str">
        <f aca="false">'RNF Accesibilidad'!C11</f>
        <v>Información no dependiente del color</v>
      </c>
      <c r="D20" s="28" t="str">
        <f aca="false">'RNF Accesibilidad'!D11</f>
        <v>Estados, errores y porcentajes se comunican con texto o ícono además del color.</v>
      </c>
      <c r="E20" s="29" t="str">
        <f aca="false">'RNF Accesibilidad'!E11</f>
        <v>Alta</v>
      </c>
      <c r="F20" s="30" t="n">
        <f aca="false">'RNF Accesibilidad'!F11</f>
        <v>0</v>
      </c>
    </row>
    <row r="21" customFormat="false" ht="57" hidden="false" customHeight="true" outlineLevel="0" collapsed="false">
      <c r="B21" s="27" t="s">
        <v>136</v>
      </c>
      <c r="C21" s="28" t="str">
        <f aca="false">'RNF Accesibilidad'!C12</f>
        <v>Navegación por teclado</v>
      </c>
      <c r="D21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1" s="29" t="str">
        <f aca="false">'RNF Accesibilidad'!E12</f>
        <v>Alta</v>
      </c>
      <c r="F21" s="30" t="n">
        <f aca="false">'RNF Accesibilidad'!F12</f>
        <v>0</v>
      </c>
    </row>
    <row r="22" customFormat="false" ht="42" hidden="false" customHeight="true" outlineLevel="0" collapsed="false">
      <c r="B22" s="27" t="s">
        <v>137</v>
      </c>
      <c r="C22" s="28" t="str">
        <f aca="false">'RNF Accesibilidad'!C13</f>
        <v>Lenguaje claro</v>
      </c>
      <c r="D22" s="28" t="str">
        <f aca="false">'RNF Accesibilidad'!D13</f>
        <v>Textos en lenguaje claro y sin tecnicismos; los errores de formulario indican qué campo falla y cómo corregirlo.</v>
      </c>
      <c r="E22" s="29" t="str">
        <f aca="false">'RNF Accesibilidad'!E13</f>
        <v>Media</v>
      </c>
      <c r="F22" s="30" t="n">
        <f aca="false">'RNF Accesibilidad'!F13</f>
        <v>0</v>
      </c>
    </row>
    <row r="23" customFormat="false" ht="42" hidden="false" customHeight="true" outlineLevel="0" collapsed="false">
      <c r="B23" s="27" t="s">
        <v>138</v>
      </c>
      <c r="C23" s="28" t="str">
        <f aca="false">'RNF Accesibilidad'!C14</f>
        <v>Movimiento reducido</v>
      </c>
      <c r="D23" s="28" t="str">
        <f aca="false">'RNF Accesibilidad'!D14</f>
        <v>Se respeta la preferencia de «reducir movimiento» del sistema y no hay contenido parpadeante.</v>
      </c>
      <c r="E23" s="29" t="str">
        <f aca="false">'RNF Accesibilidad'!E14</f>
        <v>Baja</v>
      </c>
      <c r="F23" s="30" t="n">
        <f aca="false">'RNF Accesibilidad'!F14</f>
        <v>0</v>
      </c>
    </row>
    <row r="24" customFormat="false" ht="42" hidden="false" customHeight="true" outlineLevel="0" collapsed="false">
      <c r="B24" s="27" t="s">
        <v>466</v>
      </c>
      <c r="C24" s="28" t="str">
        <f aca="false">'RNF CRUD Web'!C6</f>
        <v>Desempeño</v>
      </c>
      <c r="D24" s="28" t="str">
        <f aca="false">'RNF CRUD Web'!D6</f>
        <v>Listados paginados de 25 registros con tiempo de respuesta ≤ 1 s.</v>
      </c>
      <c r="E24" s="29" t="str">
        <f aca="false">'RNF CRUD Web'!E6</f>
        <v>Alta</v>
      </c>
      <c r="F24" s="30" t="n">
        <f aca="false">'RNF CRUD Web'!F6</f>
        <v>0</v>
      </c>
    </row>
    <row r="25" customFormat="false" ht="42" hidden="false" customHeight="true" outlineLevel="0" collapsed="false">
      <c r="B25" s="27" t="s">
        <v>467</v>
      </c>
      <c r="C25" s="28" t="str">
        <f aca="false">'RNF CRUD Web'!C7</f>
        <v>Validación</v>
      </c>
      <c r="D25" s="28" t="str">
        <f aca="false">'RNF CRUD Web'!D7</f>
        <v>Validación en cliente y servidor con mensajes específicos por campo.</v>
      </c>
      <c r="E25" s="29" t="str">
        <f aca="false">'RNF CRUD Web'!E7</f>
        <v>Alta</v>
      </c>
      <c r="F25" s="30" t="n">
        <f aca="false">'RNF CRUD Web'!F7</f>
        <v>0</v>
      </c>
    </row>
    <row r="26" customFormat="false" ht="42" hidden="false" customHeight="true" outlineLevel="0" collapsed="false">
      <c r="B26" s="27" t="s">
        <v>468</v>
      </c>
      <c r="C26" s="28" t="str">
        <f aca="false">'RNF CRUD Web'!C8</f>
        <v>Compatibilidad</v>
      </c>
      <c r="D26" s="28" t="str">
        <f aca="false">'RNF CRUD Web'!D8</f>
        <v>Funciona en Chrome, Firefox y Edge en sus dos versiones más recientes, en resoluciones desde 1280 px de ancho.</v>
      </c>
      <c r="E26" s="29" t="str">
        <f aca="false">'RNF CRUD Web'!E8</f>
        <v>Media</v>
      </c>
      <c r="F26" s="30" t="n">
        <f aca="false">'RNF CRUD Web'!F8</f>
        <v>0</v>
      </c>
    </row>
    <row r="27" customFormat="false" ht="57" hidden="false" customHeight="true" outlineLevel="0" collapsed="false">
      <c r="B27" s="27" t="s">
        <v>469</v>
      </c>
      <c r="C27" s="28" t="str">
        <f aca="false">'RNF CRUD Web'!C9</f>
        <v>Auditoría</v>
      </c>
      <c r="D27" s="28" t="str">
        <f aca="false">'RNF CRUD Web'!D9</f>
        <v>Toda creación, edición, validación, suspensión o cambio de estado queda registrado en bitácora con usuario, fecha y hora, valor anterior y valor nuevo.</v>
      </c>
      <c r="E27" s="29" t="str">
        <f aca="false">'RNF CRUD Web'!E9</f>
        <v>Alta</v>
      </c>
      <c r="F27" s="30" t="n">
        <f aca="false">'RNF CRUD Web'!F9</f>
        <v>0</v>
      </c>
    </row>
    <row r="28" customFormat="false" ht="42" hidden="false" customHeight="true" outlineLevel="0" collapsed="false">
      <c r="B28" s="31" t="s">
        <v>470</v>
      </c>
      <c r="C28" s="32" t="str">
        <f aca="false">'RNF CRUD Web'!C10</f>
        <v>Confirmación de acciones críticas</v>
      </c>
      <c r="D28" s="32" t="str">
        <f aca="false">'RNF CRUD Web'!D10</f>
        <v>Suspender, rechazar o dar de baja requiere confirmación y motivo.</v>
      </c>
      <c r="E28" s="33" t="str">
        <f aca="false">'RNF CRUD Web'!E10</f>
        <v>Media</v>
      </c>
      <c r="F28" s="34" t="n">
        <f aca="false">'RNF CRUD Web'!F10</f>
        <v>0</v>
      </c>
    </row>
    <row r="29" customFormat="false" ht="15" hidden="false" customHeight="false" outlineLevel="0" collapsed="false">
      <c r="B29" s="36" t="s">
        <v>144</v>
      </c>
    </row>
    <row r="32" customFormat="false" ht="15" hidden="false" customHeight="true" outlineLevel="0" collapsed="false">
      <c r="B32" s="37" t="s">
        <v>145</v>
      </c>
      <c r="C32" s="38" t="s">
        <v>146</v>
      </c>
      <c r="D32" s="38"/>
    </row>
    <row r="33" customFormat="false" ht="15" hidden="false" customHeight="true" outlineLevel="0" collapsed="false">
      <c r="B33" s="39" t="s">
        <v>147</v>
      </c>
      <c r="C33" s="40" t="s">
        <v>148</v>
      </c>
      <c r="D33" s="40"/>
    </row>
    <row r="34" customFormat="false" ht="15" hidden="false" customHeight="true" outlineLevel="0" collapsed="false">
      <c r="B34" s="39" t="s">
        <v>149</v>
      </c>
      <c r="C34" s="40" t="s">
        <v>150</v>
      </c>
      <c r="D34" s="40"/>
    </row>
    <row r="35" customFormat="false" ht="15" hidden="false" customHeight="true" outlineLevel="0" collapsed="false">
      <c r="B35" s="41" t="s">
        <v>151</v>
      </c>
      <c r="C35" s="42" t="s">
        <v>152</v>
      </c>
      <c r="D35" s="42"/>
    </row>
    <row r="38" customFormat="false" ht="15" hidden="false" customHeight="false" outlineLevel="0" collapsed="false">
      <c r="B38" s="43" t="s">
        <v>153</v>
      </c>
      <c r="C38" s="43"/>
    </row>
    <row r="39" customFormat="false" ht="15" hidden="false" customHeight="false" outlineLevel="0" collapsed="false">
      <c r="B39" s="44" t="s">
        <v>154</v>
      </c>
      <c r="C39" s="45" t="s">
        <v>155</v>
      </c>
    </row>
    <row r="40" customFormat="false" ht="15" hidden="false" customHeight="false" outlineLevel="0" collapsed="false">
      <c r="B40" s="46" t="s">
        <v>156</v>
      </c>
      <c r="C40" s="45" t="s">
        <v>157</v>
      </c>
    </row>
    <row r="41" customFormat="false" ht="15" hidden="false" customHeight="false" outlineLevel="0" collapsed="false">
      <c r="B41" s="47" t="s">
        <v>158</v>
      </c>
      <c r="C41" s="48" t="s">
        <v>159</v>
      </c>
    </row>
    <row r="44" customFormat="false" ht="30" hidden="false" customHeight="true" outlineLevel="0" collapsed="false">
      <c r="B44" s="49" t="s">
        <v>160</v>
      </c>
      <c r="C44" s="50"/>
      <c r="D44" s="50"/>
    </row>
  </sheetData>
  <mergeCells count="10">
    <mergeCell ref="B3:F3"/>
    <mergeCell ref="B4:F4"/>
    <mergeCell ref="B12:F12"/>
    <mergeCell ref="B13:F13"/>
    <mergeCell ref="C32:D32"/>
    <mergeCell ref="C33:D33"/>
    <mergeCell ref="C34:D34"/>
    <mergeCell ref="C35:D35"/>
    <mergeCell ref="B38:C38"/>
    <mergeCell ref="C44:D44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5:F28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513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57" hidden="false" customHeight="true" outlineLevel="0" collapsed="false">
      <c r="B6" s="27" t="s">
        <v>120</v>
      </c>
      <c r="C6" s="28" t="s">
        <v>514</v>
      </c>
      <c r="D6" s="28" t="s">
        <v>515</v>
      </c>
      <c r="E6" s="29" t="s">
        <v>123</v>
      </c>
      <c r="F6" s="30" t="n">
        <v>0</v>
      </c>
    </row>
    <row r="7" customFormat="false" ht="30" hidden="false" customHeight="true" outlineLevel="0" collapsed="false">
      <c r="B7" s="27" t="s">
        <v>124</v>
      </c>
      <c r="C7" s="28" t="s">
        <v>242</v>
      </c>
      <c r="D7" s="28" t="s">
        <v>516</v>
      </c>
      <c r="E7" s="29" t="s">
        <v>175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517</v>
      </c>
      <c r="D8" s="28" t="s">
        <v>518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519</v>
      </c>
      <c r="D9" s="28" t="s">
        <v>520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27" t="s">
        <v>172</v>
      </c>
      <c r="C10" s="28" t="s">
        <v>521</v>
      </c>
      <c r="D10" s="28" t="s">
        <v>522</v>
      </c>
      <c r="E10" s="29" t="s">
        <v>123</v>
      </c>
      <c r="F10" s="30" t="n">
        <v>0</v>
      </c>
    </row>
    <row r="11" customFormat="false" ht="42" hidden="false" customHeight="true" outlineLevel="0" collapsed="false">
      <c r="B11" s="31" t="s">
        <v>193</v>
      </c>
      <c r="C11" s="32" t="s">
        <v>523</v>
      </c>
      <c r="D11" s="32" t="s">
        <v>524</v>
      </c>
      <c r="E11" s="33" t="s">
        <v>175</v>
      </c>
      <c r="F11" s="34" t="n">
        <v>0</v>
      </c>
    </row>
    <row r="14" customFormat="false" ht="48.75" hidden="false" customHeight="true" outlineLevel="0" collapsed="false">
      <c r="B14" s="35" t="s">
        <v>127</v>
      </c>
      <c r="C14" s="35"/>
      <c r="D14" s="35"/>
      <c r="E14" s="35"/>
      <c r="F14" s="35"/>
    </row>
    <row r="15" customFormat="false" ht="48" hidden="false" customHeight="true" outlineLevel="0" collapsed="false">
      <c r="B15" s="23" t="s">
        <v>525</v>
      </c>
      <c r="C15" s="23"/>
      <c r="D15" s="23"/>
      <c r="E15" s="23"/>
      <c r="F15" s="23"/>
    </row>
    <row r="16" customFormat="false" ht="22.5" hidden="false" customHeight="true" outlineLevel="0" collapsed="false">
      <c r="B16" s="24" t="s">
        <v>116</v>
      </c>
      <c r="C16" s="25" t="s">
        <v>129</v>
      </c>
      <c r="D16" s="25" t="s">
        <v>118</v>
      </c>
      <c r="E16" s="25" t="s">
        <v>119</v>
      </c>
      <c r="F16" s="26" t="s">
        <v>75</v>
      </c>
    </row>
    <row r="17" customFormat="false" ht="42" hidden="false" customHeight="true" outlineLevel="0" collapsed="false">
      <c r="B17" s="27" t="s">
        <v>130</v>
      </c>
      <c r="C17" s="28" t="str">
        <f aca="false">'RNF Accesibilidad'!C6</f>
        <v>Estándar de accesibilidad</v>
      </c>
      <c r="D17" s="28" t="str">
        <f aca="false">'RNF Accesibilidad'!D6</f>
        <v>Las interfaces cumplen las pautas WCAG 2.1 nivel AA.</v>
      </c>
      <c r="E17" s="29" t="str">
        <f aca="false">'RNF Accesibilidad'!E6</f>
        <v>Alta</v>
      </c>
      <c r="F17" s="30" t="n">
        <f aca="false">'RNF Accesibilidad'!F6</f>
        <v>0</v>
      </c>
    </row>
    <row r="18" customFormat="false" ht="72" hidden="false" customHeight="true" outlineLevel="0" collapsed="false">
      <c r="B18" s="27" t="s">
        <v>131</v>
      </c>
      <c r="C18" s="28" t="str">
        <f aca="false">'RNF Accesibilidad'!C7</f>
        <v>Lectores de pantalla</v>
      </c>
      <c r="D18" s="28" t="str">
        <f aca="false">'RNF Accesibilidad'!D7</f>
        <v>Todos los elementos interactivos tienen etiqueta, rol y estado accesibles (accessibilityLabel/Role/State en React Native; HTML semántico y ARIA en Laravel) y funcionan con TalkBack, VoiceOver y NVDA.</v>
      </c>
      <c r="E18" s="29" t="str">
        <f aca="false">'RNF Accesibilidad'!E7</f>
        <v>Alta</v>
      </c>
      <c r="F18" s="30" t="n">
        <f aca="false">'RNF Accesibilidad'!F7</f>
        <v>0</v>
      </c>
    </row>
    <row r="19" customFormat="false" ht="42" hidden="false" customHeight="true" outlineLevel="0" collapsed="false">
      <c r="B19" s="27" t="s">
        <v>132</v>
      </c>
      <c r="C19" s="28" t="str">
        <f aca="false">'RNF Accesibilidad'!C8</f>
        <v>Contraste</v>
      </c>
      <c r="D19" s="28" t="str">
        <f aca="false">'RNF Accesibilidad'!D8</f>
        <v>Contraste mínimo de 4.5:1 para texto normal y 3:1 para texto grande y componentes de interfaz.</v>
      </c>
      <c r="E19" s="29" t="str">
        <f aca="false">'RNF Accesibilidad'!E8</f>
        <v>Alta</v>
      </c>
      <c r="F19" s="30" t="n">
        <f aca="false">'RNF Accesibilidad'!F8</f>
        <v>0</v>
      </c>
    </row>
    <row r="20" customFormat="false" ht="57" hidden="false" customHeight="true" outlineLevel="0" collapsed="false">
      <c r="B20" s="27" t="s">
        <v>133</v>
      </c>
      <c r="C20" s="28" t="str">
        <f aca="false">'RNF Accesibilidad'!C9</f>
        <v>Texto escalable</v>
      </c>
      <c r="D20" s="28" t="str">
        <f aca="false">'RNF Accesibilidad'!D9</f>
        <v>La interfaz respeta el tamaño de fuente del sistema y admite hasta 200 % de ampliación sin pérdida de contenido ni funcionalidad.</v>
      </c>
      <c r="E20" s="29" t="str">
        <f aca="false">'RNF Accesibilidad'!E9</f>
        <v>Alta</v>
      </c>
      <c r="F20" s="30" t="n">
        <f aca="false">'RNF Accesibilidad'!F9</f>
        <v>0</v>
      </c>
    </row>
    <row r="21" customFormat="false" ht="42" hidden="false" customHeight="true" outlineLevel="0" collapsed="false">
      <c r="B21" s="27" t="s">
        <v>134</v>
      </c>
      <c r="C21" s="28" t="str">
        <f aca="false">'RNF Accesibilidad'!C10</f>
        <v>Áreas táctiles</v>
      </c>
      <c r="D21" s="28" t="str">
        <f aca="false">'RNF Accesibilidad'!D10</f>
        <v>Los componentes táctiles tienen un área mínima de 48 × 48 dp en Android y 44 × 44 pt en iOS.</v>
      </c>
      <c r="E21" s="29" t="str">
        <f aca="false">'RNF Accesibilidad'!E10</f>
        <v>Alta</v>
      </c>
      <c r="F21" s="30" t="n">
        <f aca="false">'RNF Accesibilidad'!F10</f>
        <v>0</v>
      </c>
    </row>
    <row r="22" customFormat="false" ht="42" hidden="false" customHeight="true" outlineLevel="0" collapsed="false">
      <c r="B22" s="27" t="s">
        <v>135</v>
      </c>
      <c r="C22" s="28" t="str">
        <f aca="false">'RNF Accesibilidad'!C11</f>
        <v>Información no dependiente del color</v>
      </c>
      <c r="D22" s="28" t="str">
        <f aca="false">'RNF Accesibilidad'!D11</f>
        <v>Estados, errores y porcentajes se comunican con texto o ícono además del color.</v>
      </c>
      <c r="E22" s="29" t="str">
        <f aca="false">'RNF Accesibilidad'!E11</f>
        <v>Alta</v>
      </c>
      <c r="F22" s="30" t="n">
        <f aca="false">'RNF Accesibilidad'!F11</f>
        <v>0</v>
      </c>
    </row>
    <row r="23" customFormat="false" ht="57" hidden="false" customHeight="true" outlineLevel="0" collapsed="false">
      <c r="B23" s="27" t="s">
        <v>136</v>
      </c>
      <c r="C23" s="28" t="str">
        <f aca="false">'RNF Accesibilidad'!C12</f>
        <v>Navegación por teclado</v>
      </c>
      <c r="D23" s="28" t="str">
        <f aca="false">'RNF Accesibilidad'!D12</f>
        <v>El panel web puede operarse completamente con teclado y la app admite teclado externo y control por interruptores (Switch Access / Control por botón), con foco visible y orden lógico.</v>
      </c>
      <c r="E23" s="29" t="str">
        <f aca="false">'RNF Accesibilidad'!E12</f>
        <v>Alta</v>
      </c>
      <c r="F23" s="30" t="n">
        <f aca="false">'RNF Accesibilidad'!F12</f>
        <v>0</v>
      </c>
    </row>
    <row r="24" customFormat="false" ht="42" hidden="false" customHeight="true" outlineLevel="0" collapsed="false">
      <c r="B24" s="27" t="s">
        <v>137</v>
      </c>
      <c r="C24" s="28" t="str">
        <f aca="false">'RNF Accesibilidad'!C13</f>
        <v>Lenguaje claro</v>
      </c>
      <c r="D24" s="28" t="str">
        <f aca="false">'RNF Accesibilidad'!D13</f>
        <v>Textos en lenguaje claro y sin tecnicismos; los errores de formulario indican qué campo falla y cómo corregirlo.</v>
      </c>
      <c r="E24" s="29" t="str">
        <f aca="false">'RNF Accesibilidad'!E13</f>
        <v>Media</v>
      </c>
      <c r="F24" s="30" t="n">
        <f aca="false">'RNF Accesibilidad'!F13</f>
        <v>0</v>
      </c>
    </row>
    <row r="25" customFormat="false" ht="42" hidden="false" customHeight="true" outlineLevel="0" collapsed="false">
      <c r="B25" s="27" t="s">
        <v>138</v>
      </c>
      <c r="C25" s="28" t="str">
        <f aca="false">'RNF Accesibilidad'!C14</f>
        <v>Movimiento reducido</v>
      </c>
      <c r="D25" s="28" t="str">
        <f aca="false">'RNF Accesibilidad'!D14</f>
        <v>Se respeta la preferencia de «reducir movimiento» del sistema y no hay contenido parpadeante.</v>
      </c>
      <c r="E25" s="29" t="str">
        <f aca="false">'RNF Accesibilidad'!E14</f>
        <v>Baja</v>
      </c>
      <c r="F25" s="30" t="n">
        <f aca="false">'RNF Accesibilidad'!F14</f>
        <v>0</v>
      </c>
    </row>
    <row r="26" customFormat="false" ht="42" hidden="false" customHeight="true" outlineLevel="0" collapsed="false">
      <c r="B26" s="27" t="s">
        <v>466</v>
      </c>
      <c r="C26" s="28" t="str">
        <f aca="false">'RNF CRUD Web'!C6</f>
        <v>Desempeño</v>
      </c>
      <c r="D26" s="28" t="str">
        <f aca="false">'RNF CRUD Web'!D6</f>
        <v>Listados paginados de 25 registros con tiempo de respuesta ≤ 1 s.</v>
      </c>
      <c r="E26" s="29" t="str">
        <f aca="false">'RNF CRUD Web'!E6</f>
        <v>Alta</v>
      </c>
      <c r="F26" s="30" t="n">
        <f aca="false">'RNF CRUD Web'!F6</f>
        <v>0</v>
      </c>
    </row>
    <row r="27" customFormat="false" ht="42" hidden="false" customHeight="true" outlineLevel="0" collapsed="false">
      <c r="B27" s="27" t="s">
        <v>467</v>
      </c>
      <c r="C27" s="28" t="str">
        <f aca="false">'RNF CRUD Web'!C7</f>
        <v>Validación</v>
      </c>
      <c r="D27" s="28" t="str">
        <f aca="false">'RNF CRUD Web'!D7</f>
        <v>Validación en cliente y servidor con mensajes específicos por campo.</v>
      </c>
      <c r="E27" s="29" t="str">
        <f aca="false">'RNF CRUD Web'!E7</f>
        <v>Alta</v>
      </c>
      <c r="F27" s="30" t="n">
        <f aca="false">'RNF CRUD Web'!F7</f>
        <v>0</v>
      </c>
    </row>
    <row r="28" customFormat="false" ht="42" hidden="false" customHeight="true" outlineLevel="0" collapsed="false">
      <c r="B28" s="27" t="s">
        <v>468</v>
      </c>
      <c r="C28" s="28" t="str">
        <f aca="false">'RNF CRUD Web'!C8</f>
        <v>Compatibilidad</v>
      </c>
      <c r="D28" s="28" t="str">
        <f aca="false">'RNF CRUD Web'!D8</f>
        <v>Funciona en Chrome, Firefox y Edge en sus dos versiones más recientes, en resoluciones desde 1280 px de ancho.</v>
      </c>
      <c r="E28" s="29" t="str">
        <f aca="false">'RNF CRUD Web'!E8</f>
        <v>Media</v>
      </c>
      <c r="F28" s="30" t="n">
        <f aca="false">'RNF CRUD Web'!F8</f>
        <v>0</v>
      </c>
    </row>
    <row r="29" customFormat="false" ht="57" hidden="false" customHeight="true" outlineLevel="0" collapsed="false">
      <c r="B29" s="27" t="s">
        <v>469</v>
      </c>
      <c r="C29" s="28" t="str">
        <f aca="false">'RNF CRUD Web'!C9</f>
        <v>Auditoría</v>
      </c>
      <c r="D29" s="28" t="str">
        <f aca="false">'RNF CRUD Web'!D9</f>
        <v>Toda creación, edición, validación, suspensión o cambio de estado queda registrado en bitácora con usuario, fecha y hora, valor anterior y valor nuevo.</v>
      </c>
      <c r="E29" s="29" t="str">
        <f aca="false">'RNF CRUD Web'!E9</f>
        <v>Alta</v>
      </c>
      <c r="F29" s="30" t="n">
        <f aca="false">'RNF CRUD Web'!F9</f>
        <v>0</v>
      </c>
    </row>
    <row r="30" customFormat="false" ht="42" hidden="false" customHeight="true" outlineLevel="0" collapsed="false">
      <c r="B30" s="27" t="s">
        <v>470</v>
      </c>
      <c r="C30" s="28" t="str">
        <f aca="false">'RNF CRUD Web'!C10</f>
        <v>Confirmación de acciones críticas</v>
      </c>
      <c r="D30" s="28" t="str">
        <f aca="false">'RNF CRUD Web'!D10</f>
        <v>Suspender, rechazar o dar de baja requiere confirmación y motivo.</v>
      </c>
      <c r="E30" s="29" t="str">
        <f aca="false">'RNF CRUD Web'!E10</f>
        <v>Media</v>
      </c>
      <c r="F30" s="30" t="n">
        <f aca="false">'RNF CRUD Web'!F10</f>
        <v>0</v>
      </c>
    </row>
    <row r="31" customFormat="false" ht="42" hidden="false" customHeight="true" outlineLevel="0" collapsed="false">
      <c r="B31" s="27" t="s">
        <v>232</v>
      </c>
      <c r="C31" s="28" t="str">
        <f aca="false">'RNF Notificaciones'!C6</f>
        <v>Tiempo de entrega</v>
      </c>
      <c r="D31" s="28" t="str">
        <f aca="false">'RNF Notificaciones'!D6</f>
        <v>Las notificaciones push se envían en ≤ 1 min y los correos en ≤ 5 min tras el evento.</v>
      </c>
      <c r="E31" s="29" t="str">
        <f aca="false">'RNF Notificaciones'!E6</f>
        <v>Media</v>
      </c>
      <c r="F31" s="30" t="n">
        <f aca="false">'RNF Notificaciones'!F6</f>
        <v>0</v>
      </c>
    </row>
    <row r="32" customFormat="false" ht="42" hidden="false" customHeight="true" outlineLevel="0" collapsed="false">
      <c r="B32" s="27" t="s">
        <v>233</v>
      </c>
      <c r="C32" s="28" t="str">
        <f aca="false">'RNF Notificaciones'!C7</f>
        <v>Confiabilidad</v>
      </c>
      <c r="D32" s="28" t="str">
        <f aca="false">'RNF Notificaciones'!D7</f>
        <v>Los envíos fallidos se reintentan hasta 3 veces; el fallo de un canal no bloquea la operación que lo generó.</v>
      </c>
      <c r="E32" s="29" t="str">
        <f aca="false">'RNF Notificaciones'!E7</f>
        <v>Alta</v>
      </c>
      <c r="F32" s="30" t="n">
        <f aca="false">'RNF Notificaciones'!F7</f>
        <v>0</v>
      </c>
    </row>
    <row r="33" customFormat="false" ht="42" hidden="false" customHeight="true" outlineLevel="0" collapsed="false">
      <c r="B33" s="27" t="s">
        <v>234</v>
      </c>
      <c r="C33" s="28" t="str">
        <f aca="false">'RNF Notificaciones'!C8</f>
        <v>Correos accesibles</v>
      </c>
      <c r="D33" s="28" t="str">
        <f aca="false">'RNF Notificaciones'!D8</f>
        <v>Los correos incluyen versión en texto plano, estructura semántica y enlaces descriptivos.</v>
      </c>
      <c r="E33" s="29" t="str">
        <f aca="false">'RNF Notificaciones'!E8</f>
        <v>Media</v>
      </c>
      <c r="F33" s="30" t="n">
        <f aca="false">'RNF Notificaciones'!F8</f>
        <v>0</v>
      </c>
    </row>
    <row r="34" customFormat="false" ht="42" hidden="false" customHeight="true" outlineLevel="0" collapsed="false">
      <c r="B34" s="31" t="s">
        <v>235</v>
      </c>
      <c r="C34" s="32" t="str">
        <f aca="false">'RNF Notificaciones'!C9</f>
        <v>Contenido mínimo</v>
      </c>
      <c r="D34" s="32" t="str">
        <f aca="false">'RNF Notificaciones'!D9</f>
        <v>Las notificaciones push no incluyen datos personales sensibles; el detalle se consulta dentro de la app.</v>
      </c>
      <c r="E34" s="33" t="str">
        <f aca="false">'RNF Notificaciones'!E9</f>
        <v>Alta</v>
      </c>
      <c r="F34" s="34" t="n">
        <f aca="false">'RNF Notificaciones'!F9</f>
        <v>0</v>
      </c>
    </row>
    <row r="35" customFormat="false" ht="15" hidden="false" customHeight="false" outlineLevel="0" collapsed="false">
      <c r="B35" s="36" t="s">
        <v>144</v>
      </c>
    </row>
    <row r="38" customFormat="false" ht="15" hidden="false" customHeight="true" outlineLevel="0" collapsed="false">
      <c r="B38" s="37" t="s">
        <v>145</v>
      </c>
      <c r="C38" s="38" t="s">
        <v>146</v>
      </c>
      <c r="D38" s="38"/>
    </row>
    <row r="39" customFormat="false" ht="15" hidden="false" customHeight="true" outlineLevel="0" collapsed="false">
      <c r="B39" s="39" t="s">
        <v>147</v>
      </c>
      <c r="C39" s="40" t="s">
        <v>148</v>
      </c>
      <c r="D39" s="40"/>
    </row>
    <row r="40" customFormat="false" ht="15" hidden="false" customHeight="true" outlineLevel="0" collapsed="false">
      <c r="B40" s="39" t="s">
        <v>149</v>
      </c>
      <c r="C40" s="40" t="s">
        <v>406</v>
      </c>
      <c r="D40" s="40"/>
    </row>
    <row r="41" customFormat="false" ht="15" hidden="false" customHeight="true" outlineLevel="0" collapsed="false">
      <c r="B41" s="41" t="s">
        <v>151</v>
      </c>
      <c r="C41" s="42" t="s">
        <v>152</v>
      </c>
      <c r="D41" s="42"/>
    </row>
    <row r="44" customFormat="false" ht="15" hidden="false" customHeight="false" outlineLevel="0" collapsed="false">
      <c r="B44" s="43" t="s">
        <v>153</v>
      </c>
      <c r="C44" s="43"/>
    </row>
    <row r="45" customFormat="false" ht="15" hidden="false" customHeight="false" outlineLevel="0" collapsed="false">
      <c r="B45" s="44" t="s">
        <v>154</v>
      </c>
      <c r="C45" s="45" t="s">
        <v>155</v>
      </c>
    </row>
    <row r="46" customFormat="false" ht="15" hidden="false" customHeight="false" outlineLevel="0" collapsed="false">
      <c r="B46" s="46" t="s">
        <v>156</v>
      </c>
      <c r="C46" s="45" t="s">
        <v>157</v>
      </c>
    </row>
    <row r="47" customFormat="false" ht="15" hidden="false" customHeight="false" outlineLevel="0" collapsed="false">
      <c r="B47" s="47" t="s">
        <v>158</v>
      </c>
      <c r="C47" s="48" t="s">
        <v>159</v>
      </c>
    </row>
    <row r="50" customFormat="false" ht="30" hidden="false" customHeight="true" outlineLevel="0" collapsed="false">
      <c r="B50" s="49" t="s">
        <v>160</v>
      </c>
      <c r="C50" s="50"/>
      <c r="D50" s="50"/>
    </row>
  </sheetData>
  <mergeCells count="10">
    <mergeCell ref="B3:F3"/>
    <mergeCell ref="B4:F4"/>
    <mergeCell ref="B14:F14"/>
    <mergeCell ref="B15:F15"/>
    <mergeCell ref="C38:D38"/>
    <mergeCell ref="C39:D39"/>
    <mergeCell ref="C40:D40"/>
    <mergeCell ref="C41:D41"/>
    <mergeCell ref="B44:C44"/>
    <mergeCell ref="C50:D50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17:F34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22" t="s">
        <v>114</v>
      </c>
      <c r="C3" s="22"/>
      <c r="D3" s="22"/>
      <c r="E3" s="22"/>
      <c r="F3" s="22"/>
    </row>
    <row r="4" customFormat="false" ht="31.5" hidden="false" customHeight="true" outlineLevel="0" collapsed="false">
      <c r="B4" s="23" t="s">
        <v>526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117</v>
      </c>
      <c r="D5" s="25" t="s">
        <v>118</v>
      </c>
      <c r="E5" s="25" t="s">
        <v>119</v>
      </c>
      <c r="F5" s="26" t="s">
        <v>75</v>
      </c>
    </row>
    <row r="6" customFormat="false" ht="72" hidden="false" customHeight="true" outlineLevel="0" collapsed="false">
      <c r="B6" s="27" t="s">
        <v>120</v>
      </c>
      <c r="C6" s="28" t="s">
        <v>527</v>
      </c>
      <c r="D6" s="28" t="s">
        <v>528</v>
      </c>
      <c r="E6" s="29" t="s">
        <v>123</v>
      </c>
      <c r="F6" s="30" t="n">
        <v>0</v>
      </c>
    </row>
    <row r="7" customFormat="false" ht="72" hidden="false" customHeight="true" outlineLevel="0" collapsed="false">
      <c r="B7" s="27" t="s">
        <v>124</v>
      </c>
      <c r="C7" s="28" t="s">
        <v>529</v>
      </c>
      <c r="D7" s="28" t="s">
        <v>530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166</v>
      </c>
      <c r="C8" s="28" t="s">
        <v>531</v>
      </c>
      <c r="D8" s="28" t="s">
        <v>532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169</v>
      </c>
      <c r="C9" s="28" t="s">
        <v>533</v>
      </c>
      <c r="D9" s="28" t="s">
        <v>534</v>
      </c>
      <c r="E9" s="29" t="s">
        <v>123</v>
      </c>
      <c r="F9" s="30" t="n">
        <v>0</v>
      </c>
    </row>
    <row r="10" customFormat="false" ht="57" hidden="false" customHeight="true" outlineLevel="0" collapsed="false">
      <c r="B10" s="27" t="s">
        <v>172</v>
      </c>
      <c r="C10" s="28" t="s">
        <v>535</v>
      </c>
      <c r="D10" s="28" t="s">
        <v>536</v>
      </c>
      <c r="E10" s="29" t="s">
        <v>123</v>
      </c>
      <c r="F10" s="30" t="n">
        <v>0</v>
      </c>
    </row>
    <row r="11" customFormat="false" ht="132" hidden="false" customHeight="true" outlineLevel="0" collapsed="false">
      <c r="B11" s="27" t="s">
        <v>193</v>
      </c>
      <c r="C11" s="28" t="s">
        <v>537</v>
      </c>
      <c r="D11" s="28" t="s">
        <v>538</v>
      </c>
      <c r="E11" s="29" t="s">
        <v>123</v>
      </c>
      <c r="F11" s="30" t="n">
        <v>0</v>
      </c>
    </row>
    <row r="12" customFormat="false" ht="57" hidden="false" customHeight="true" outlineLevel="0" collapsed="false">
      <c r="B12" s="27" t="s">
        <v>196</v>
      </c>
      <c r="C12" s="28" t="s">
        <v>539</v>
      </c>
      <c r="D12" s="28" t="s">
        <v>540</v>
      </c>
      <c r="E12" s="29" t="s">
        <v>123</v>
      </c>
      <c r="F12" s="30" t="n">
        <v>0</v>
      </c>
    </row>
    <row r="13" customFormat="false" ht="57" hidden="false" customHeight="true" outlineLevel="0" collapsed="false">
      <c r="B13" s="27" t="s">
        <v>267</v>
      </c>
      <c r="C13" s="28" t="s">
        <v>541</v>
      </c>
      <c r="D13" s="28" t="s">
        <v>542</v>
      </c>
      <c r="E13" s="29" t="s">
        <v>123</v>
      </c>
      <c r="F13" s="30" t="n">
        <v>0</v>
      </c>
    </row>
    <row r="14" customFormat="false" ht="87" hidden="false" customHeight="true" outlineLevel="0" collapsed="false">
      <c r="B14" s="27" t="s">
        <v>270</v>
      </c>
      <c r="C14" s="28" t="s">
        <v>543</v>
      </c>
      <c r="D14" s="28" t="s">
        <v>544</v>
      </c>
      <c r="E14" s="29" t="s">
        <v>123</v>
      </c>
      <c r="F14" s="30" t="n">
        <v>0</v>
      </c>
    </row>
    <row r="15" customFormat="false" ht="57" hidden="false" customHeight="true" outlineLevel="0" collapsed="false">
      <c r="B15" s="27" t="s">
        <v>545</v>
      </c>
      <c r="C15" s="28" t="s">
        <v>546</v>
      </c>
      <c r="D15" s="28" t="s">
        <v>547</v>
      </c>
      <c r="E15" s="29" t="s">
        <v>123</v>
      </c>
      <c r="F15" s="30" t="n">
        <v>0</v>
      </c>
    </row>
    <row r="16" customFormat="false" ht="57" hidden="false" customHeight="true" outlineLevel="0" collapsed="false">
      <c r="B16" s="27" t="s">
        <v>548</v>
      </c>
      <c r="C16" s="28" t="s">
        <v>549</v>
      </c>
      <c r="D16" s="28" t="s">
        <v>550</v>
      </c>
      <c r="E16" s="29" t="s">
        <v>123</v>
      </c>
      <c r="F16" s="30" t="n">
        <v>0</v>
      </c>
    </row>
    <row r="17" customFormat="false" ht="42" hidden="false" customHeight="true" outlineLevel="0" collapsed="false">
      <c r="B17" s="27" t="s">
        <v>551</v>
      </c>
      <c r="C17" s="28" t="s">
        <v>552</v>
      </c>
      <c r="D17" s="28" t="s">
        <v>553</v>
      </c>
      <c r="E17" s="29" t="s">
        <v>123</v>
      </c>
      <c r="F17" s="30" t="n">
        <v>0</v>
      </c>
    </row>
    <row r="18" customFormat="false" ht="57" hidden="false" customHeight="true" outlineLevel="0" collapsed="false">
      <c r="B18" s="31" t="s">
        <v>554</v>
      </c>
      <c r="C18" s="32" t="s">
        <v>555</v>
      </c>
      <c r="D18" s="32" t="s">
        <v>556</v>
      </c>
      <c r="E18" s="33" t="s">
        <v>175</v>
      </c>
      <c r="F18" s="34" t="n">
        <v>0</v>
      </c>
    </row>
    <row r="21" customFormat="false" ht="48.75" hidden="false" customHeight="true" outlineLevel="0" collapsed="false">
      <c r="B21" s="35" t="s">
        <v>127</v>
      </c>
      <c r="C21" s="35"/>
      <c r="D21" s="35"/>
      <c r="E21" s="35"/>
      <c r="F21" s="35"/>
    </row>
    <row r="22" customFormat="false" ht="48" hidden="false" customHeight="true" outlineLevel="0" collapsed="false">
      <c r="B22" s="23" t="s">
        <v>557</v>
      </c>
      <c r="C22" s="23"/>
      <c r="D22" s="23"/>
      <c r="E22" s="23"/>
      <c r="F22" s="23"/>
    </row>
    <row r="23" customFormat="false" ht="22.5" hidden="false" customHeight="true" outlineLevel="0" collapsed="false">
      <c r="B23" s="24" t="s">
        <v>116</v>
      </c>
      <c r="C23" s="25" t="s">
        <v>129</v>
      </c>
      <c r="D23" s="25" t="s">
        <v>118</v>
      </c>
      <c r="E23" s="25" t="s">
        <v>119</v>
      </c>
      <c r="F23" s="26" t="s">
        <v>75</v>
      </c>
    </row>
    <row r="24" customFormat="false" ht="72" hidden="false" customHeight="true" outlineLevel="0" collapsed="false">
      <c r="B24" s="27" t="s">
        <v>200</v>
      </c>
      <c r="C24" s="28" t="str">
        <f aca="false">'RNF Privacidad'!C6</f>
        <v>Cumplimiento legal</v>
      </c>
      <c r="D24" s="28" t="str">
        <f aca="false">'RNF Privacidad'!D6</f>
        <v>El tratamiento de datos personales cumple la Ley Federal de Protección de Datos Personales en Posesión de los Particulares, con aviso de privacidad y consentimiento expreso para datos sensibles.</v>
      </c>
      <c r="E24" s="29" t="str">
        <f aca="false">'RNF Privacidad'!E6</f>
        <v>Alta</v>
      </c>
      <c r="F24" s="30" t="n">
        <f aca="false">'RNF Privacidad'!F6</f>
        <v>0</v>
      </c>
    </row>
    <row r="25" customFormat="false" ht="42" hidden="false" customHeight="true" outlineLevel="0" collapsed="false">
      <c r="B25" s="27" t="s">
        <v>201</v>
      </c>
      <c r="C25" s="28" t="str">
        <f aca="false">'RNF Privacidad'!C7</f>
        <v>Minimización de datos</v>
      </c>
      <c r="D25" s="28" t="str">
        <f aca="false">'RNF Privacidad'!D7</f>
        <v>El sistema registra necesidades de ajuste y no diagnósticos, tipos de discapacidad ni documentos médicos.</v>
      </c>
      <c r="E25" s="29" t="str">
        <f aca="false">'RNF Privacidad'!E7</f>
        <v>Alta</v>
      </c>
      <c r="F25" s="30" t="n">
        <f aca="false">'RNF Privacidad'!F7</f>
        <v>0</v>
      </c>
    </row>
    <row r="26" customFormat="false" ht="57" hidden="false" customHeight="true" outlineLevel="0" collapsed="false">
      <c r="B26" s="27" t="s">
        <v>202</v>
      </c>
      <c r="C26" s="28" t="str">
        <f aca="false">'RNF Privacidad'!C8</f>
        <v>Control del candidato</v>
      </c>
      <c r="D26" s="28" t="str">
        <f aca="false">'RNF Privacidad'!D8</f>
        <v>Las necesidades de ajuste solo son visibles para el candidato y para las empresas a cuyas vacantes se postuló con consentimiento; el administrador solo ve datos agregados.</v>
      </c>
      <c r="E26" s="29" t="str">
        <f aca="false">'RNF Privacidad'!E8</f>
        <v>Alta</v>
      </c>
      <c r="F26" s="30" t="n">
        <f aca="false">'RNF Privacidad'!F8</f>
        <v>0</v>
      </c>
    </row>
    <row r="27" customFormat="false" ht="57" hidden="false" customHeight="true" outlineLevel="0" collapsed="false">
      <c r="B27" s="27" t="s">
        <v>203</v>
      </c>
      <c r="C27" s="28" t="str">
        <f aca="false">'RNF Privacidad'!C9</f>
        <v>Derechos ARCO</v>
      </c>
      <c r="D27" s="28" t="str">
        <f aca="false">'RNF Privacidad'!D9</f>
        <v>El candidato puede consultar, corregir y eliminar sus datos; la eliminación anonimiza sus postulaciones históricas en un plazo máximo de 30 días.</v>
      </c>
      <c r="E27" s="29" t="str">
        <f aca="false">'RNF Privacidad'!E9</f>
        <v>Alta</v>
      </c>
      <c r="F27" s="30" t="n">
        <f aca="false">'RNF Privacidad'!F9</f>
        <v>0</v>
      </c>
    </row>
    <row r="28" customFormat="false" ht="42" hidden="false" customHeight="true" outlineLevel="0" collapsed="false">
      <c r="B28" s="27" t="s">
        <v>204</v>
      </c>
      <c r="C28" s="28" t="str">
        <f aca="false">'RNF Privacidad'!C10</f>
        <v>Registros sin datos sensibles</v>
      </c>
      <c r="D28" s="28" t="str">
        <f aca="false">'RNF Privacidad'!D10</f>
        <v>Los logs del servidor y los mensajes push no incluyen necesidades de ajuste ni datos de contacto.</v>
      </c>
      <c r="E28" s="29" t="str">
        <f aca="false">'RNF Privacidad'!E10</f>
        <v>Alta</v>
      </c>
      <c r="F28" s="30" t="n">
        <f aca="false">'RNF Privacidad'!F10</f>
        <v>0</v>
      </c>
    </row>
    <row r="29" customFormat="false" ht="30" hidden="false" customHeight="true" outlineLevel="0" collapsed="false">
      <c r="B29" s="27" t="s">
        <v>558</v>
      </c>
      <c r="C29" s="28" t="str">
        <f aca="false">'RNF API'!C6</f>
        <v>Disponibilidad</v>
      </c>
      <c r="D29" s="28" t="str">
        <f aca="false">'RNF API'!D6</f>
        <v>Disponibilidad ≥ 99 % mensual.</v>
      </c>
      <c r="E29" s="29" t="str">
        <f aca="false">'RNF API'!E6</f>
        <v>Alta</v>
      </c>
      <c r="F29" s="30" t="n">
        <f aca="false">'RNF API'!F6</f>
        <v>0</v>
      </c>
    </row>
    <row r="30" customFormat="false" ht="42" hidden="false" customHeight="true" outlineLevel="0" collapsed="false">
      <c r="B30" s="27" t="s">
        <v>559</v>
      </c>
      <c r="C30" s="28" t="str">
        <f aca="false">'RNF API'!C7</f>
        <v>Desempeño</v>
      </c>
      <c r="D30" s="28" t="str">
        <f aca="false">'RNF API'!D7</f>
        <v>Percentil 95 de latencia ≤ 300 ms en endpoints de operación y ≤ 1 s en búsqueda con compatibilidad y en estadísticas.</v>
      </c>
      <c r="E30" s="29" t="str">
        <f aca="false">'RNF API'!E7</f>
        <v>Alta</v>
      </c>
      <c r="F30" s="30" t="n">
        <f aca="false">'RNF API'!F7</f>
        <v>0</v>
      </c>
    </row>
    <row r="31" customFormat="false" ht="42" hidden="false" customHeight="true" outlineLevel="0" collapsed="false">
      <c r="B31" s="27" t="s">
        <v>560</v>
      </c>
      <c r="C31" s="28" t="str">
        <f aca="false">'RNF API'!C8</f>
        <v>Documentación</v>
      </c>
      <c r="D31" s="28" t="str">
        <f aca="false">'RNF API'!D8</f>
        <v>Especificación OpenAPI 3 autogenerada por FastAPI y accesible en /docs; rutas versionadas bajo /api/v1.</v>
      </c>
      <c r="E31" s="29" t="str">
        <f aca="false">'RNF API'!E8</f>
        <v>Alta</v>
      </c>
      <c r="F31" s="30" t="n">
        <f aca="false">'RNF API'!F8</f>
        <v>0</v>
      </c>
    </row>
    <row r="32" customFormat="false" ht="57" hidden="false" customHeight="true" outlineLevel="0" collapsed="false">
      <c r="B32" s="27" t="s">
        <v>561</v>
      </c>
      <c r="C32" s="28" t="str">
        <f aca="false">'RNF API'!C9</f>
        <v>Seguridad</v>
      </c>
      <c r="D32" s="28" t="str">
        <f aca="false">'RNF API'!D9</f>
        <v>Todos los endpoints, excepto login, registro y recuperación de contraseña, requieren JWT válido; CORS restringido a los orígenes autorizados; validación de entrada con Pydantic.</v>
      </c>
      <c r="E32" s="29" t="str">
        <f aca="false">'RNF API'!E9</f>
        <v>Alta</v>
      </c>
      <c r="F32" s="30" t="n">
        <f aca="false">'RNF API'!F9</f>
        <v>0</v>
      </c>
    </row>
    <row r="33" customFormat="false" ht="57" hidden="false" customHeight="true" outlineLevel="0" collapsed="false">
      <c r="B33" s="27" t="s">
        <v>562</v>
      </c>
      <c r="C33" s="28" t="str">
        <f aca="false">'RNF API'!C10</f>
        <v>Persistencia atómica</v>
      </c>
      <c r="D33" s="28" t="str">
        <f aca="false">'RNF API'!D10</f>
        <v>Las operaciones con varios cambios (agendar entrevista, cambio de estado con historial, suspensión en cascada) se ejecutan en transacciones de PostgreSQL.</v>
      </c>
      <c r="E33" s="29" t="str">
        <f aca="false">'RNF API'!E10</f>
        <v>Alta</v>
      </c>
      <c r="F33" s="30" t="n">
        <f aca="false">'RNF API'!F10</f>
        <v>0</v>
      </c>
    </row>
    <row r="34" customFormat="false" ht="42" hidden="false" customHeight="true" outlineLevel="0" collapsed="false">
      <c r="B34" s="31" t="s">
        <v>563</v>
      </c>
      <c r="C34" s="32" t="str">
        <f aca="false">'RNF API'!C11</f>
        <v>Escalabilidad del cálculo</v>
      </c>
      <c r="D34" s="32" t="str">
        <f aca="false">'RNF API'!D11</f>
        <v>La compatibilidad se precalcula y se actualiza cuando cambia el CV del candidato o la vacante, sin recalcular en cada consulta.</v>
      </c>
      <c r="E34" s="33" t="str">
        <f aca="false">'RNF API'!E11</f>
        <v>Media</v>
      </c>
      <c r="F34" s="34" t="n">
        <f aca="false">'RNF API'!F11</f>
        <v>0</v>
      </c>
    </row>
    <row r="35" customFormat="false" ht="15" hidden="false" customHeight="false" outlineLevel="0" collapsed="false">
      <c r="B35" s="36" t="s">
        <v>144</v>
      </c>
    </row>
    <row r="38" customFormat="false" ht="15" hidden="false" customHeight="true" outlineLevel="0" collapsed="false">
      <c r="B38" s="37" t="s">
        <v>145</v>
      </c>
      <c r="C38" s="38" t="s">
        <v>146</v>
      </c>
      <c r="D38" s="38"/>
    </row>
    <row r="39" customFormat="false" ht="15" hidden="false" customHeight="true" outlineLevel="0" collapsed="false">
      <c r="B39" s="39" t="s">
        <v>147</v>
      </c>
      <c r="C39" s="40" t="s">
        <v>148</v>
      </c>
      <c r="D39" s="40"/>
    </row>
    <row r="40" customFormat="false" ht="15" hidden="false" customHeight="true" outlineLevel="0" collapsed="false">
      <c r="B40" s="39" t="s">
        <v>149</v>
      </c>
      <c r="C40" s="40" t="s">
        <v>564</v>
      </c>
      <c r="D40" s="40"/>
    </row>
    <row r="41" customFormat="false" ht="15" hidden="false" customHeight="true" outlineLevel="0" collapsed="false">
      <c r="B41" s="41" t="s">
        <v>151</v>
      </c>
      <c r="C41" s="42" t="s">
        <v>152</v>
      </c>
      <c r="D41" s="42"/>
    </row>
    <row r="44" customFormat="false" ht="15" hidden="false" customHeight="false" outlineLevel="0" collapsed="false">
      <c r="B44" s="43" t="s">
        <v>153</v>
      </c>
      <c r="C44" s="43"/>
    </row>
    <row r="45" customFormat="false" ht="15" hidden="false" customHeight="false" outlineLevel="0" collapsed="false">
      <c r="B45" s="44" t="s">
        <v>154</v>
      </c>
      <c r="C45" s="45" t="s">
        <v>155</v>
      </c>
    </row>
    <row r="46" customFormat="false" ht="15" hidden="false" customHeight="false" outlineLevel="0" collapsed="false">
      <c r="B46" s="46" t="s">
        <v>156</v>
      </c>
      <c r="C46" s="45" t="s">
        <v>157</v>
      </c>
    </row>
    <row r="47" customFormat="false" ht="15" hidden="false" customHeight="false" outlineLevel="0" collapsed="false">
      <c r="B47" s="47" t="s">
        <v>158</v>
      </c>
      <c r="C47" s="48" t="s">
        <v>159</v>
      </c>
    </row>
    <row r="50" customFormat="false" ht="30" hidden="false" customHeight="true" outlineLevel="0" collapsed="false">
      <c r="B50" s="49" t="s">
        <v>160</v>
      </c>
      <c r="C50" s="50"/>
      <c r="D50" s="50"/>
    </row>
  </sheetData>
  <mergeCells count="10">
    <mergeCell ref="B3:F3"/>
    <mergeCell ref="B4:F4"/>
    <mergeCell ref="B21:F21"/>
    <mergeCell ref="B22:F22"/>
    <mergeCell ref="C38:D38"/>
    <mergeCell ref="C39:D39"/>
    <mergeCell ref="C40:D40"/>
    <mergeCell ref="C41:D41"/>
    <mergeCell ref="B44:C44"/>
    <mergeCell ref="C50:D50"/>
  </mergeCells>
  <conditionalFormatting sqref="F6:F18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conditionalFormatting sqref="F24:F34">
    <cfRule type="cellIs" priority="4" operator="greaterThanOrEqual" aboveAverage="0" equalAverage="0" bottom="0" percent="0" rank="0" text="" dxfId="2">
      <formula>1</formula>
    </cfRule>
    <cfRule type="cellIs" priority="5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8" type="decimal">
      <formula1>0</formula1>
      <formula2>1</formula2>
    </dataValidation>
    <dataValidation allowBlank="false" errorStyle="stop" operator="between" showDropDown="false" showErrorMessage="false" showInputMessage="false" sqref="E6:E18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48" hidden="false" customHeight="true" outlineLevel="0" collapsed="false">
      <c r="B4" s="23" t="s">
        <v>565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130</v>
      </c>
      <c r="C6" s="28" t="s">
        <v>566</v>
      </c>
      <c r="D6" s="28" t="s">
        <v>567</v>
      </c>
      <c r="E6" s="29" t="s">
        <v>123</v>
      </c>
      <c r="F6" s="30" t="n">
        <v>0</v>
      </c>
    </row>
    <row r="7" customFormat="false" ht="72" hidden="false" customHeight="true" outlineLevel="0" collapsed="false">
      <c r="B7" s="27" t="s">
        <v>131</v>
      </c>
      <c r="C7" s="28" t="s">
        <v>568</v>
      </c>
      <c r="D7" s="28" t="s">
        <v>569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132</v>
      </c>
      <c r="C8" s="28" t="s">
        <v>570</v>
      </c>
      <c r="D8" s="28" t="s">
        <v>571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133</v>
      </c>
      <c r="C9" s="28" t="s">
        <v>572</v>
      </c>
      <c r="D9" s="28" t="s">
        <v>573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27" t="s">
        <v>134</v>
      </c>
      <c r="C10" s="28" t="s">
        <v>574</v>
      </c>
      <c r="D10" s="28" t="s">
        <v>575</v>
      </c>
      <c r="E10" s="29" t="s">
        <v>123</v>
      </c>
      <c r="F10" s="30" t="n">
        <v>0</v>
      </c>
    </row>
    <row r="11" customFormat="false" ht="42" hidden="false" customHeight="true" outlineLevel="0" collapsed="false">
      <c r="B11" s="27" t="s">
        <v>135</v>
      </c>
      <c r="C11" s="28" t="s">
        <v>576</v>
      </c>
      <c r="D11" s="28" t="s">
        <v>577</v>
      </c>
      <c r="E11" s="29" t="s">
        <v>123</v>
      </c>
      <c r="F11" s="30" t="n">
        <v>0</v>
      </c>
    </row>
    <row r="12" customFormat="false" ht="57" hidden="false" customHeight="true" outlineLevel="0" collapsed="false">
      <c r="B12" s="27" t="s">
        <v>136</v>
      </c>
      <c r="C12" s="28" t="s">
        <v>578</v>
      </c>
      <c r="D12" s="28" t="s">
        <v>579</v>
      </c>
      <c r="E12" s="29" t="s">
        <v>123</v>
      </c>
      <c r="F12" s="30" t="n">
        <v>0</v>
      </c>
    </row>
    <row r="13" customFormat="false" ht="42" hidden="false" customHeight="true" outlineLevel="0" collapsed="false">
      <c r="B13" s="27" t="s">
        <v>137</v>
      </c>
      <c r="C13" s="28" t="s">
        <v>580</v>
      </c>
      <c r="D13" s="28" t="s">
        <v>581</v>
      </c>
      <c r="E13" s="29" t="s">
        <v>175</v>
      </c>
      <c r="F13" s="30" t="n">
        <v>0</v>
      </c>
    </row>
    <row r="14" customFormat="false" ht="42" hidden="false" customHeight="true" outlineLevel="0" collapsed="false">
      <c r="B14" s="31" t="s">
        <v>138</v>
      </c>
      <c r="C14" s="32" t="s">
        <v>582</v>
      </c>
      <c r="D14" s="32" t="s">
        <v>583</v>
      </c>
      <c r="E14" s="33" t="s">
        <v>215</v>
      </c>
      <c r="F14" s="34" t="n">
        <v>0</v>
      </c>
    </row>
    <row r="17" customFormat="false" ht="15" hidden="false" customHeight="true" outlineLevel="0" collapsed="false">
      <c r="B17" s="37" t="s">
        <v>145</v>
      </c>
      <c r="C17" s="38" t="s">
        <v>146</v>
      </c>
      <c r="D17" s="38"/>
    </row>
    <row r="18" customFormat="false" ht="15" hidden="false" customHeight="true" outlineLevel="0" collapsed="false">
      <c r="B18" s="39" t="s">
        <v>147</v>
      </c>
      <c r="C18" s="40" t="s">
        <v>148</v>
      </c>
      <c r="D18" s="40"/>
    </row>
    <row r="19" customFormat="false" ht="15" hidden="false" customHeight="true" outlineLevel="0" collapsed="false">
      <c r="B19" s="39" t="s">
        <v>149</v>
      </c>
      <c r="C19" s="40" t="s">
        <v>584</v>
      </c>
      <c r="D19" s="40"/>
    </row>
    <row r="20" customFormat="false" ht="15" hidden="false" customHeight="true" outlineLevel="0" collapsed="false">
      <c r="B20" s="41" t="s">
        <v>151</v>
      </c>
      <c r="C20" s="42" t="s">
        <v>152</v>
      </c>
      <c r="D20" s="42"/>
    </row>
    <row r="23" customFormat="false" ht="15" hidden="false" customHeight="false" outlineLevel="0" collapsed="false">
      <c r="B23" s="43" t="s">
        <v>153</v>
      </c>
      <c r="C23" s="43"/>
    </row>
    <row r="24" customFormat="false" ht="15" hidden="false" customHeight="false" outlineLevel="0" collapsed="false">
      <c r="B24" s="44" t="s">
        <v>154</v>
      </c>
      <c r="C24" s="45" t="s">
        <v>155</v>
      </c>
    </row>
    <row r="25" customFormat="false" ht="15" hidden="false" customHeight="false" outlineLevel="0" collapsed="false">
      <c r="B25" s="46" t="s">
        <v>156</v>
      </c>
      <c r="C25" s="45" t="s">
        <v>157</v>
      </c>
    </row>
    <row r="26" customFormat="false" ht="15" hidden="false" customHeight="false" outlineLevel="0" collapsed="false">
      <c r="B26" s="47" t="s">
        <v>158</v>
      </c>
      <c r="C26" s="48" t="s">
        <v>159</v>
      </c>
    </row>
    <row r="29" customFormat="false" ht="30" hidden="false" customHeight="true" outlineLevel="0" collapsed="false">
      <c r="B29" s="49" t="s">
        <v>160</v>
      </c>
      <c r="C29" s="50"/>
      <c r="D29" s="50"/>
    </row>
  </sheetData>
  <mergeCells count="8">
    <mergeCell ref="B3:F3"/>
    <mergeCell ref="B4:F4"/>
    <mergeCell ref="C17:D17"/>
    <mergeCell ref="C18:D18"/>
    <mergeCell ref="C19:D19"/>
    <mergeCell ref="C20:D20"/>
    <mergeCell ref="B23:C23"/>
    <mergeCell ref="C29:D29"/>
  </mergeCells>
  <conditionalFormatting sqref="F6:F14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4" type="decimal">
      <formula1>0</formula1>
      <formula2>1</formula2>
    </dataValidation>
    <dataValidation allowBlank="false" errorStyle="stop" operator="between" showDropDown="false" showErrorMessage="false" showInputMessage="false" sqref="E6:E14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48" hidden="false" customHeight="true" outlineLevel="0" collapsed="false">
      <c r="B4" s="23" t="s">
        <v>585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177</v>
      </c>
      <c r="C6" s="28" t="s">
        <v>586</v>
      </c>
      <c r="D6" s="28" t="s">
        <v>587</v>
      </c>
      <c r="E6" s="29" t="s">
        <v>123</v>
      </c>
      <c r="F6" s="30" t="n">
        <v>0</v>
      </c>
    </row>
    <row r="7" customFormat="false" ht="57" hidden="false" customHeight="true" outlineLevel="0" collapsed="false">
      <c r="B7" s="27" t="s">
        <v>178</v>
      </c>
      <c r="C7" s="28" t="s">
        <v>588</v>
      </c>
      <c r="D7" s="28" t="s">
        <v>589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179</v>
      </c>
      <c r="C8" s="28" t="s">
        <v>590</v>
      </c>
      <c r="D8" s="28" t="s">
        <v>591</v>
      </c>
      <c r="E8" s="29" t="s">
        <v>123</v>
      </c>
      <c r="F8" s="30" t="n">
        <v>0</v>
      </c>
    </row>
    <row r="9" customFormat="false" ht="42" hidden="false" customHeight="true" outlineLevel="0" collapsed="false">
      <c r="B9" s="27" t="s">
        <v>180</v>
      </c>
      <c r="C9" s="28" t="s">
        <v>592</v>
      </c>
      <c r="D9" s="28" t="s">
        <v>593</v>
      </c>
      <c r="E9" s="29" t="s">
        <v>175</v>
      </c>
      <c r="F9" s="30" t="n">
        <v>0</v>
      </c>
    </row>
    <row r="10" customFormat="false" ht="30" hidden="false" customHeight="true" outlineLevel="0" collapsed="false">
      <c r="B10" s="31" t="s">
        <v>181</v>
      </c>
      <c r="C10" s="32" t="s">
        <v>594</v>
      </c>
      <c r="D10" s="32" t="s">
        <v>595</v>
      </c>
      <c r="E10" s="33" t="s">
        <v>175</v>
      </c>
      <c r="F10" s="34" t="n">
        <v>0</v>
      </c>
    </row>
    <row r="13" customFormat="false" ht="15" hidden="false" customHeight="true" outlineLevel="0" collapsed="false">
      <c r="B13" s="37" t="s">
        <v>145</v>
      </c>
      <c r="C13" s="38" t="s">
        <v>146</v>
      </c>
      <c r="D13" s="38"/>
    </row>
    <row r="14" customFormat="false" ht="15" hidden="false" customHeight="true" outlineLevel="0" collapsed="false">
      <c r="B14" s="39" t="s">
        <v>147</v>
      </c>
      <c r="C14" s="40" t="s">
        <v>148</v>
      </c>
      <c r="D14" s="40"/>
    </row>
    <row r="15" customFormat="false" ht="15" hidden="false" customHeight="true" outlineLevel="0" collapsed="false">
      <c r="B15" s="39" t="s">
        <v>149</v>
      </c>
      <c r="C15" s="40" t="s">
        <v>584</v>
      </c>
      <c r="D15" s="40"/>
    </row>
    <row r="16" customFormat="false" ht="15" hidden="false" customHeight="true" outlineLevel="0" collapsed="false">
      <c r="B16" s="41" t="s">
        <v>151</v>
      </c>
      <c r="C16" s="42" t="s">
        <v>152</v>
      </c>
      <c r="D16" s="42"/>
    </row>
    <row r="19" customFormat="false" ht="15" hidden="false" customHeight="false" outlineLevel="0" collapsed="false">
      <c r="B19" s="43" t="s">
        <v>153</v>
      </c>
      <c r="C19" s="43"/>
    </row>
    <row r="20" customFormat="false" ht="15" hidden="false" customHeight="false" outlineLevel="0" collapsed="false">
      <c r="B20" s="44" t="s">
        <v>154</v>
      </c>
      <c r="C20" s="45" t="s">
        <v>155</v>
      </c>
    </row>
    <row r="21" customFormat="false" ht="15" hidden="false" customHeight="false" outlineLevel="0" collapsed="false">
      <c r="B21" s="46" t="s">
        <v>156</v>
      </c>
      <c r="C21" s="45" t="s">
        <v>157</v>
      </c>
    </row>
    <row r="22" customFormat="false" ht="15" hidden="false" customHeight="false" outlineLevel="0" collapsed="false">
      <c r="B22" s="47" t="s">
        <v>158</v>
      </c>
      <c r="C22" s="48" t="s">
        <v>159</v>
      </c>
    </row>
    <row r="25" customFormat="false" ht="30" hidden="false" customHeight="true" outlineLevel="0" collapsed="false">
      <c r="B25" s="49" t="s">
        <v>160</v>
      </c>
      <c r="C25" s="50"/>
      <c r="D25" s="50"/>
    </row>
  </sheetData>
  <mergeCells count="8">
    <mergeCell ref="B3:F3"/>
    <mergeCell ref="B4:F4"/>
    <mergeCell ref="C13:D13"/>
    <mergeCell ref="C14:D14"/>
    <mergeCell ref="C15:D15"/>
    <mergeCell ref="C16:D16"/>
    <mergeCell ref="B19:C19"/>
    <mergeCell ref="C25:D2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48" hidden="false" customHeight="true" outlineLevel="0" collapsed="false">
      <c r="B4" s="23" t="s">
        <v>596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72" hidden="false" customHeight="true" outlineLevel="0" collapsed="false">
      <c r="B6" s="27" t="s">
        <v>200</v>
      </c>
      <c r="C6" s="28" t="s">
        <v>597</v>
      </c>
      <c r="D6" s="28" t="s">
        <v>598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201</v>
      </c>
      <c r="C7" s="28" t="s">
        <v>599</v>
      </c>
      <c r="D7" s="28" t="s">
        <v>600</v>
      </c>
      <c r="E7" s="29" t="s">
        <v>123</v>
      </c>
      <c r="F7" s="30" t="n">
        <v>0</v>
      </c>
    </row>
    <row r="8" customFormat="false" ht="57" hidden="false" customHeight="true" outlineLevel="0" collapsed="false">
      <c r="B8" s="27" t="s">
        <v>202</v>
      </c>
      <c r="C8" s="28" t="s">
        <v>601</v>
      </c>
      <c r="D8" s="28" t="s">
        <v>602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203</v>
      </c>
      <c r="C9" s="28" t="s">
        <v>603</v>
      </c>
      <c r="D9" s="28" t="s">
        <v>604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31" t="s">
        <v>204</v>
      </c>
      <c r="C10" s="32" t="s">
        <v>605</v>
      </c>
      <c r="D10" s="32" t="s">
        <v>606</v>
      </c>
      <c r="E10" s="33" t="s">
        <v>123</v>
      </c>
      <c r="F10" s="34" t="n">
        <v>0</v>
      </c>
    </row>
    <row r="13" customFormat="false" ht="15" hidden="false" customHeight="true" outlineLevel="0" collapsed="false">
      <c r="B13" s="37" t="s">
        <v>145</v>
      </c>
      <c r="C13" s="38" t="s">
        <v>146</v>
      </c>
      <c r="D13" s="38"/>
    </row>
    <row r="14" customFormat="false" ht="15" hidden="false" customHeight="true" outlineLevel="0" collapsed="false">
      <c r="B14" s="39" t="s">
        <v>147</v>
      </c>
      <c r="C14" s="40" t="s">
        <v>148</v>
      </c>
      <c r="D14" s="40"/>
    </row>
    <row r="15" customFormat="false" ht="15" hidden="false" customHeight="true" outlineLevel="0" collapsed="false">
      <c r="B15" s="39" t="s">
        <v>149</v>
      </c>
      <c r="C15" s="40" t="s">
        <v>584</v>
      </c>
      <c r="D15" s="40"/>
    </row>
    <row r="16" customFormat="false" ht="15" hidden="false" customHeight="true" outlineLevel="0" collapsed="false">
      <c r="B16" s="41" t="s">
        <v>151</v>
      </c>
      <c r="C16" s="42" t="s">
        <v>152</v>
      </c>
      <c r="D16" s="42"/>
    </row>
    <row r="19" customFormat="false" ht="15" hidden="false" customHeight="false" outlineLevel="0" collapsed="false">
      <c r="B19" s="43" t="s">
        <v>153</v>
      </c>
      <c r="C19" s="43"/>
    </row>
    <row r="20" customFormat="false" ht="15" hidden="false" customHeight="false" outlineLevel="0" collapsed="false">
      <c r="B20" s="44" t="s">
        <v>154</v>
      </c>
      <c r="C20" s="45" t="s">
        <v>155</v>
      </c>
    </row>
    <row r="21" customFormat="false" ht="15" hidden="false" customHeight="false" outlineLevel="0" collapsed="false">
      <c r="B21" s="46" t="s">
        <v>156</v>
      </c>
      <c r="C21" s="45" t="s">
        <v>157</v>
      </c>
    </row>
    <row r="22" customFormat="false" ht="15" hidden="false" customHeight="false" outlineLevel="0" collapsed="false">
      <c r="B22" s="47" t="s">
        <v>158</v>
      </c>
      <c r="C22" s="48" t="s">
        <v>159</v>
      </c>
    </row>
    <row r="25" customFormat="false" ht="30" hidden="false" customHeight="true" outlineLevel="0" collapsed="false">
      <c r="B25" s="49" t="s">
        <v>160</v>
      </c>
      <c r="C25" s="50"/>
      <c r="D25" s="50"/>
    </row>
  </sheetData>
  <mergeCells count="8">
    <mergeCell ref="B3:F3"/>
    <mergeCell ref="B4:F4"/>
    <mergeCell ref="C13:D13"/>
    <mergeCell ref="C14:D14"/>
    <mergeCell ref="C15:D15"/>
    <mergeCell ref="C16:D16"/>
    <mergeCell ref="B19:C19"/>
    <mergeCell ref="C25:D2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48" hidden="false" customHeight="true" outlineLevel="0" collapsed="false">
      <c r="B4" s="23" t="s">
        <v>607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139</v>
      </c>
      <c r="C6" s="28" t="s">
        <v>594</v>
      </c>
      <c r="D6" s="28" t="s">
        <v>608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140</v>
      </c>
      <c r="C7" s="28" t="s">
        <v>609</v>
      </c>
      <c r="D7" s="28" t="s">
        <v>610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141</v>
      </c>
      <c r="C8" s="28" t="s">
        <v>611</v>
      </c>
      <c r="D8" s="28" t="s">
        <v>612</v>
      </c>
      <c r="E8" s="29" t="s">
        <v>175</v>
      </c>
      <c r="F8" s="30" t="n">
        <v>0</v>
      </c>
    </row>
    <row r="9" customFormat="false" ht="57" hidden="false" customHeight="true" outlineLevel="0" collapsed="false">
      <c r="B9" s="27" t="s">
        <v>142</v>
      </c>
      <c r="C9" s="28" t="s">
        <v>613</v>
      </c>
      <c r="D9" s="28" t="s">
        <v>614</v>
      </c>
      <c r="E9" s="29" t="s">
        <v>175</v>
      </c>
      <c r="F9" s="30" t="n">
        <v>0</v>
      </c>
    </row>
    <row r="10" customFormat="false" ht="30" hidden="false" customHeight="true" outlineLevel="0" collapsed="false">
      <c r="B10" s="31" t="s">
        <v>143</v>
      </c>
      <c r="C10" s="32" t="s">
        <v>615</v>
      </c>
      <c r="D10" s="32" t="s">
        <v>616</v>
      </c>
      <c r="E10" s="33" t="s">
        <v>215</v>
      </c>
      <c r="F10" s="34" t="n">
        <v>0</v>
      </c>
    </row>
    <row r="13" customFormat="false" ht="15" hidden="false" customHeight="true" outlineLevel="0" collapsed="false">
      <c r="B13" s="37" t="s">
        <v>145</v>
      </c>
      <c r="C13" s="38" t="s">
        <v>146</v>
      </c>
      <c r="D13" s="38"/>
    </row>
    <row r="14" customFormat="false" ht="15" hidden="false" customHeight="true" outlineLevel="0" collapsed="false">
      <c r="B14" s="39" t="s">
        <v>147</v>
      </c>
      <c r="C14" s="40" t="s">
        <v>148</v>
      </c>
      <c r="D14" s="40"/>
    </row>
    <row r="15" customFormat="false" ht="15" hidden="false" customHeight="true" outlineLevel="0" collapsed="false">
      <c r="B15" s="39" t="s">
        <v>149</v>
      </c>
      <c r="C15" s="40" t="s">
        <v>584</v>
      </c>
      <c r="D15" s="40"/>
    </row>
    <row r="16" customFormat="false" ht="15" hidden="false" customHeight="true" outlineLevel="0" collapsed="false">
      <c r="B16" s="41" t="s">
        <v>151</v>
      </c>
      <c r="C16" s="42" t="s">
        <v>152</v>
      </c>
      <c r="D16" s="42"/>
    </row>
    <row r="19" customFormat="false" ht="15" hidden="false" customHeight="false" outlineLevel="0" collapsed="false">
      <c r="B19" s="43" t="s">
        <v>153</v>
      </c>
      <c r="C19" s="43"/>
    </row>
    <row r="20" customFormat="false" ht="15" hidden="false" customHeight="false" outlineLevel="0" collapsed="false">
      <c r="B20" s="44" t="s">
        <v>154</v>
      </c>
      <c r="C20" s="45" t="s">
        <v>155</v>
      </c>
    </row>
    <row r="21" customFormat="false" ht="15" hidden="false" customHeight="false" outlineLevel="0" collapsed="false">
      <c r="B21" s="46" t="s">
        <v>156</v>
      </c>
      <c r="C21" s="45" t="s">
        <v>157</v>
      </c>
    </row>
    <row r="22" customFormat="false" ht="15" hidden="false" customHeight="false" outlineLevel="0" collapsed="false">
      <c r="B22" s="47" t="s">
        <v>158</v>
      </c>
      <c r="C22" s="48" t="s">
        <v>159</v>
      </c>
    </row>
    <row r="25" customFormat="false" ht="30" hidden="false" customHeight="true" outlineLevel="0" collapsed="false">
      <c r="B25" s="49" t="s">
        <v>160</v>
      </c>
      <c r="C25" s="50"/>
      <c r="D25" s="50"/>
    </row>
  </sheetData>
  <mergeCells count="8">
    <mergeCell ref="B3:F3"/>
    <mergeCell ref="B4:F4"/>
    <mergeCell ref="C13:D13"/>
    <mergeCell ref="C14:D14"/>
    <mergeCell ref="C15:D15"/>
    <mergeCell ref="C16:D16"/>
    <mergeCell ref="B19:C19"/>
    <mergeCell ref="C25:D2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31.5" hidden="false" customHeight="true" outlineLevel="0" collapsed="false">
      <c r="B4" s="23" t="s">
        <v>617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466</v>
      </c>
      <c r="C6" s="28" t="s">
        <v>594</v>
      </c>
      <c r="D6" s="28" t="s">
        <v>618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467</v>
      </c>
      <c r="C7" s="28" t="s">
        <v>619</v>
      </c>
      <c r="D7" s="28" t="s">
        <v>620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468</v>
      </c>
      <c r="C8" s="28" t="s">
        <v>609</v>
      </c>
      <c r="D8" s="28" t="s">
        <v>621</v>
      </c>
      <c r="E8" s="29" t="s">
        <v>175</v>
      </c>
      <c r="F8" s="30" t="n">
        <v>0</v>
      </c>
    </row>
    <row r="9" customFormat="false" ht="57" hidden="false" customHeight="true" outlineLevel="0" collapsed="false">
      <c r="B9" s="27" t="s">
        <v>469</v>
      </c>
      <c r="C9" s="28" t="s">
        <v>622</v>
      </c>
      <c r="D9" s="28" t="s">
        <v>623</v>
      </c>
      <c r="E9" s="29" t="s">
        <v>123</v>
      </c>
      <c r="F9" s="30" t="n">
        <v>0</v>
      </c>
    </row>
    <row r="10" customFormat="false" ht="42" hidden="false" customHeight="true" outlineLevel="0" collapsed="false">
      <c r="B10" s="31" t="s">
        <v>470</v>
      </c>
      <c r="C10" s="32" t="s">
        <v>624</v>
      </c>
      <c r="D10" s="32" t="s">
        <v>625</v>
      </c>
      <c r="E10" s="33" t="s">
        <v>175</v>
      </c>
      <c r="F10" s="34" t="n">
        <v>0</v>
      </c>
    </row>
    <row r="13" customFormat="false" ht="15" hidden="false" customHeight="true" outlineLevel="0" collapsed="false">
      <c r="B13" s="37" t="s">
        <v>145</v>
      </c>
      <c r="C13" s="38" t="s">
        <v>146</v>
      </c>
      <c r="D13" s="38"/>
    </row>
    <row r="14" customFormat="false" ht="15" hidden="false" customHeight="true" outlineLevel="0" collapsed="false">
      <c r="B14" s="39" t="s">
        <v>147</v>
      </c>
      <c r="C14" s="40" t="s">
        <v>148</v>
      </c>
      <c r="D14" s="40"/>
    </row>
    <row r="15" customFormat="false" ht="15" hidden="false" customHeight="true" outlineLevel="0" collapsed="false">
      <c r="B15" s="39" t="s">
        <v>149</v>
      </c>
      <c r="C15" s="40" t="s">
        <v>584</v>
      </c>
      <c r="D15" s="40"/>
    </row>
    <row r="16" customFormat="false" ht="15" hidden="false" customHeight="true" outlineLevel="0" collapsed="false">
      <c r="B16" s="41" t="s">
        <v>151</v>
      </c>
      <c r="C16" s="42" t="s">
        <v>152</v>
      </c>
      <c r="D16" s="42"/>
    </row>
    <row r="19" customFormat="false" ht="15" hidden="false" customHeight="false" outlineLevel="0" collapsed="false">
      <c r="B19" s="43" t="s">
        <v>153</v>
      </c>
      <c r="C19" s="43"/>
    </row>
    <row r="20" customFormat="false" ht="15" hidden="false" customHeight="false" outlineLevel="0" collapsed="false">
      <c r="B20" s="44" t="s">
        <v>154</v>
      </c>
      <c r="C20" s="45" t="s">
        <v>155</v>
      </c>
    </row>
    <row r="21" customFormat="false" ht="15" hidden="false" customHeight="false" outlineLevel="0" collapsed="false">
      <c r="B21" s="46" t="s">
        <v>156</v>
      </c>
      <c r="C21" s="45" t="s">
        <v>157</v>
      </c>
    </row>
    <row r="22" customFormat="false" ht="15" hidden="false" customHeight="false" outlineLevel="0" collapsed="false">
      <c r="B22" s="47" t="s">
        <v>158</v>
      </c>
      <c r="C22" s="48" t="s">
        <v>159</v>
      </c>
    </row>
    <row r="25" customFormat="false" ht="30" hidden="false" customHeight="true" outlineLevel="0" collapsed="false">
      <c r="B25" s="49" t="s">
        <v>160</v>
      </c>
      <c r="C25" s="50"/>
      <c r="D25" s="50"/>
    </row>
  </sheetData>
  <mergeCells count="8">
    <mergeCell ref="B3:F3"/>
    <mergeCell ref="B4:F4"/>
    <mergeCell ref="C13:D13"/>
    <mergeCell ref="C14:D14"/>
    <mergeCell ref="C15:D15"/>
    <mergeCell ref="C16:D16"/>
    <mergeCell ref="B19:C19"/>
    <mergeCell ref="C25:D25"/>
  </mergeCells>
  <conditionalFormatting sqref="F6:F10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0" type="decimal">
      <formula1>0</formula1>
      <formula2>1</formula2>
    </dataValidation>
    <dataValidation allowBlank="false" errorStyle="stop" operator="between" showDropDown="false" showErrorMessage="false" showInputMessage="false" sqref="E6:E10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31.5" hidden="false" customHeight="true" outlineLevel="0" collapsed="false">
      <c r="B4" s="23" t="s">
        <v>626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30" hidden="false" customHeight="true" outlineLevel="0" collapsed="false">
      <c r="B6" s="27" t="s">
        <v>447</v>
      </c>
      <c r="C6" s="28" t="s">
        <v>594</v>
      </c>
      <c r="D6" s="28" t="s">
        <v>627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448</v>
      </c>
      <c r="C7" s="28" t="s">
        <v>442</v>
      </c>
      <c r="D7" s="28" t="s">
        <v>628</v>
      </c>
      <c r="E7" s="29" t="s">
        <v>175</v>
      </c>
      <c r="F7" s="30" t="n">
        <v>0</v>
      </c>
    </row>
    <row r="8" customFormat="false" ht="57" hidden="false" customHeight="true" outlineLevel="0" collapsed="false">
      <c r="B8" s="27" t="s">
        <v>449</v>
      </c>
      <c r="C8" s="28" t="s">
        <v>629</v>
      </c>
      <c r="D8" s="28" t="s">
        <v>630</v>
      </c>
      <c r="E8" s="29" t="s">
        <v>123</v>
      </c>
      <c r="F8" s="30" t="n">
        <v>0</v>
      </c>
    </row>
    <row r="9" customFormat="false" ht="42" hidden="false" customHeight="true" outlineLevel="0" collapsed="false">
      <c r="B9" s="31" t="s">
        <v>450</v>
      </c>
      <c r="C9" s="32" t="s">
        <v>631</v>
      </c>
      <c r="D9" s="32" t="s">
        <v>632</v>
      </c>
      <c r="E9" s="33" t="s">
        <v>175</v>
      </c>
      <c r="F9" s="34" t="n">
        <v>0</v>
      </c>
    </row>
    <row r="12" customFormat="false" ht="15" hidden="false" customHeight="true" outlineLevel="0" collapsed="false">
      <c r="B12" s="37" t="s">
        <v>145</v>
      </c>
      <c r="C12" s="38" t="s">
        <v>146</v>
      </c>
      <c r="D12" s="38"/>
    </row>
    <row r="13" customFormat="false" ht="15" hidden="false" customHeight="true" outlineLevel="0" collapsed="false">
      <c r="B13" s="39" t="s">
        <v>147</v>
      </c>
      <c r="C13" s="40" t="s">
        <v>148</v>
      </c>
      <c r="D13" s="40"/>
    </row>
    <row r="14" customFormat="false" ht="15" hidden="false" customHeight="true" outlineLevel="0" collapsed="false">
      <c r="B14" s="39" t="s">
        <v>149</v>
      </c>
      <c r="C14" s="40" t="s">
        <v>584</v>
      </c>
      <c r="D14" s="40"/>
    </row>
    <row r="15" customFormat="false" ht="15" hidden="false" customHeight="true" outlineLevel="0" collapsed="false">
      <c r="B15" s="41" t="s">
        <v>151</v>
      </c>
      <c r="C15" s="42" t="s">
        <v>152</v>
      </c>
      <c r="D15" s="42"/>
    </row>
    <row r="18" customFormat="false" ht="15" hidden="false" customHeight="false" outlineLevel="0" collapsed="false">
      <c r="B18" s="43" t="s">
        <v>153</v>
      </c>
      <c r="C18" s="43"/>
    </row>
    <row r="19" customFormat="false" ht="15" hidden="false" customHeight="false" outlineLevel="0" collapsed="false">
      <c r="B19" s="44" t="s">
        <v>154</v>
      </c>
      <c r="C19" s="45" t="s">
        <v>155</v>
      </c>
    </row>
    <row r="20" customFormat="false" ht="15" hidden="false" customHeight="false" outlineLevel="0" collapsed="false">
      <c r="B20" s="46" t="s">
        <v>156</v>
      </c>
      <c r="C20" s="45" t="s">
        <v>157</v>
      </c>
    </row>
    <row r="21" customFormat="false" ht="15" hidden="false" customHeight="false" outlineLevel="0" collapsed="false">
      <c r="B21" s="47" t="s">
        <v>158</v>
      </c>
      <c r="C21" s="48" t="s">
        <v>159</v>
      </c>
    </row>
    <row r="24" customFormat="false" ht="30" hidden="false" customHeight="true" outlineLevel="0" collapsed="false">
      <c r="B24" s="49" t="s">
        <v>160</v>
      </c>
      <c r="C24" s="50"/>
      <c r="D24" s="50"/>
    </row>
  </sheetData>
  <mergeCells count="8">
    <mergeCell ref="B3:F3"/>
    <mergeCell ref="B4:F4"/>
    <mergeCell ref="C12:D12"/>
    <mergeCell ref="C13:D13"/>
    <mergeCell ref="C14:D14"/>
    <mergeCell ref="C15:D15"/>
    <mergeCell ref="B18:C18"/>
    <mergeCell ref="C24:D24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48" hidden="false" customHeight="true" outlineLevel="0" collapsed="false">
      <c r="B4" s="23" t="s">
        <v>633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42" hidden="false" customHeight="true" outlineLevel="0" collapsed="false">
      <c r="B6" s="27" t="s">
        <v>232</v>
      </c>
      <c r="C6" s="28" t="s">
        <v>634</v>
      </c>
      <c r="D6" s="28" t="s">
        <v>635</v>
      </c>
      <c r="E6" s="29" t="s">
        <v>175</v>
      </c>
      <c r="F6" s="30" t="n">
        <v>0</v>
      </c>
    </row>
    <row r="7" customFormat="false" ht="42" hidden="false" customHeight="true" outlineLevel="0" collapsed="false">
      <c r="B7" s="27" t="s">
        <v>233</v>
      </c>
      <c r="C7" s="28" t="s">
        <v>636</v>
      </c>
      <c r="D7" s="28" t="s">
        <v>637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234</v>
      </c>
      <c r="C8" s="28" t="s">
        <v>638</v>
      </c>
      <c r="D8" s="28" t="s">
        <v>639</v>
      </c>
      <c r="E8" s="29" t="s">
        <v>175</v>
      </c>
      <c r="F8" s="30" t="n">
        <v>0</v>
      </c>
    </row>
    <row r="9" customFormat="false" ht="42" hidden="false" customHeight="true" outlineLevel="0" collapsed="false">
      <c r="B9" s="31" t="s">
        <v>235</v>
      </c>
      <c r="C9" s="32" t="s">
        <v>640</v>
      </c>
      <c r="D9" s="32" t="s">
        <v>641</v>
      </c>
      <c r="E9" s="33" t="s">
        <v>123</v>
      </c>
      <c r="F9" s="34" t="n">
        <v>0</v>
      </c>
    </row>
    <row r="12" customFormat="false" ht="15" hidden="false" customHeight="true" outlineLevel="0" collapsed="false">
      <c r="B12" s="37" t="s">
        <v>145</v>
      </c>
      <c r="C12" s="38" t="s">
        <v>146</v>
      </c>
      <c r="D12" s="38"/>
    </row>
    <row r="13" customFormat="false" ht="15" hidden="false" customHeight="true" outlineLevel="0" collapsed="false">
      <c r="B13" s="39" t="s">
        <v>147</v>
      </c>
      <c r="C13" s="40" t="s">
        <v>148</v>
      </c>
      <c r="D13" s="40"/>
    </row>
    <row r="14" customFormat="false" ht="15" hidden="false" customHeight="true" outlineLevel="0" collapsed="false">
      <c r="B14" s="39" t="s">
        <v>149</v>
      </c>
      <c r="C14" s="40" t="s">
        <v>584</v>
      </c>
      <c r="D14" s="40"/>
    </row>
    <row r="15" customFormat="false" ht="15" hidden="false" customHeight="true" outlineLevel="0" collapsed="false">
      <c r="B15" s="41" t="s">
        <v>151</v>
      </c>
      <c r="C15" s="42" t="s">
        <v>152</v>
      </c>
      <c r="D15" s="42"/>
    </row>
    <row r="18" customFormat="false" ht="15" hidden="false" customHeight="false" outlineLevel="0" collapsed="false">
      <c r="B18" s="43" t="s">
        <v>153</v>
      </c>
      <c r="C18" s="43"/>
    </row>
    <row r="19" customFormat="false" ht="15" hidden="false" customHeight="false" outlineLevel="0" collapsed="false">
      <c r="B19" s="44" t="s">
        <v>154</v>
      </c>
      <c r="C19" s="45" t="s">
        <v>155</v>
      </c>
    </row>
    <row r="20" customFormat="false" ht="15" hidden="false" customHeight="false" outlineLevel="0" collapsed="false">
      <c r="B20" s="46" t="s">
        <v>156</v>
      </c>
      <c r="C20" s="45" t="s">
        <v>157</v>
      </c>
    </row>
    <row r="21" customFormat="false" ht="15" hidden="false" customHeight="false" outlineLevel="0" collapsed="false">
      <c r="B21" s="47" t="s">
        <v>158</v>
      </c>
      <c r="C21" s="48" t="s">
        <v>159</v>
      </c>
    </row>
    <row r="24" customFormat="false" ht="30" hidden="false" customHeight="true" outlineLevel="0" collapsed="false">
      <c r="B24" s="49" t="s">
        <v>160</v>
      </c>
      <c r="C24" s="50"/>
      <c r="D24" s="50"/>
    </row>
  </sheetData>
  <mergeCells count="8">
    <mergeCell ref="B3:F3"/>
    <mergeCell ref="B4:F4"/>
    <mergeCell ref="C12:D12"/>
    <mergeCell ref="C13:D13"/>
    <mergeCell ref="C14:D14"/>
    <mergeCell ref="C15:D15"/>
    <mergeCell ref="B18:C18"/>
    <mergeCell ref="C24:D24"/>
  </mergeCells>
  <conditionalFormatting sqref="F6:F9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9" type="decimal">
      <formula1>0</formula1>
      <formula2>1</formula2>
    </dataValidation>
    <dataValidation allowBlank="false" errorStyle="stop" operator="between" showDropDown="false" showErrorMessage="false" showInputMessage="false" sqref="E6:E9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</cols>
  <sheetData>
    <row r="1" customFormat="false" ht="15" hidden="false" customHeight="false" outlineLevel="0" collapsed="false">
      <c r="B1" s="21" t="s">
        <v>113</v>
      </c>
    </row>
    <row r="2" customFormat="false" ht="7.5" hidden="false" customHeight="true" outlineLevel="0" collapsed="false"/>
    <row r="3" customFormat="false" ht="48.75" hidden="false" customHeight="true" outlineLevel="0" collapsed="false">
      <c r="B3" s="35" t="s">
        <v>127</v>
      </c>
      <c r="C3" s="35"/>
      <c r="D3" s="35"/>
      <c r="E3" s="35"/>
      <c r="F3" s="35"/>
    </row>
    <row r="4" customFormat="false" ht="31.5" hidden="false" customHeight="true" outlineLevel="0" collapsed="false">
      <c r="B4" s="23" t="s">
        <v>642</v>
      </c>
      <c r="C4" s="23"/>
      <c r="D4" s="23"/>
      <c r="E4" s="23"/>
      <c r="F4" s="23"/>
    </row>
    <row r="5" customFormat="false" ht="22.5" hidden="false" customHeight="true" outlineLevel="0" collapsed="false">
      <c r="B5" s="24" t="s">
        <v>116</v>
      </c>
      <c r="C5" s="25" t="s">
        <v>129</v>
      </c>
      <c r="D5" s="25" t="s">
        <v>118</v>
      </c>
      <c r="E5" s="25" t="s">
        <v>119</v>
      </c>
      <c r="F5" s="26" t="s">
        <v>75</v>
      </c>
    </row>
    <row r="6" customFormat="false" ht="30" hidden="false" customHeight="true" outlineLevel="0" collapsed="false">
      <c r="B6" s="27" t="s">
        <v>558</v>
      </c>
      <c r="C6" s="28" t="s">
        <v>643</v>
      </c>
      <c r="D6" s="28" t="s">
        <v>644</v>
      </c>
      <c r="E6" s="29" t="s">
        <v>123</v>
      </c>
      <c r="F6" s="30" t="n">
        <v>0</v>
      </c>
    </row>
    <row r="7" customFormat="false" ht="42" hidden="false" customHeight="true" outlineLevel="0" collapsed="false">
      <c r="B7" s="27" t="s">
        <v>559</v>
      </c>
      <c r="C7" s="28" t="s">
        <v>594</v>
      </c>
      <c r="D7" s="28" t="s">
        <v>645</v>
      </c>
      <c r="E7" s="29" t="s">
        <v>123</v>
      </c>
      <c r="F7" s="30" t="n">
        <v>0</v>
      </c>
    </row>
    <row r="8" customFormat="false" ht="42" hidden="false" customHeight="true" outlineLevel="0" collapsed="false">
      <c r="B8" s="27" t="s">
        <v>560</v>
      </c>
      <c r="C8" s="28" t="s">
        <v>646</v>
      </c>
      <c r="D8" s="28" t="s">
        <v>647</v>
      </c>
      <c r="E8" s="29" t="s">
        <v>123</v>
      </c>
      <c r="F8" s="30" t="n">
        <v>0</v>
      </c>
    </row>
    <row r="9" customFormat="false" ht="57" hidden="false" customHeight="true" outlineLevel="0" collapsed="false">
      <c r="B9" s="27" t="s">
        <v>561</v>
      </c>
      <c r="C9" s="28" t="s">
        <v>648</v>
      </c>
      <c r="D9" s="28" t="s">
        <v>649</v>
      </c>
      <c r="E9" s="29" t="s">
        <v>123</v>
      </c>
      <c r="F9" s="30" t="n">
        <v>0</v>
      </c>
    </row>
    <row r="10" customFormat="false" ht="57" hidden="false" customHeight="true" outlineLevel="0" collapsed="false">
      <c r="B10" s="27" t="s">
        <v>562</v>
      </c>
      <c r="C10" s="28" t="s">
        <v>650</v>
      </c>
      <c r="D10" s="28" t="s">
        <v>651</v>
      </c>
      <c r="E10" s="29" t="s">
        <v>123</v>
      </c>
      <c r="F10" s="30" t="n">
        <v>0</v>
      </c>
    </row>
    <row r="11" customFormat="false" ht="42" hidden="false" customHeight="true" outlineLevel="0" collapsed="false">
      <c r="B11" s="31" t="s">
        <v>563</v>
      </c>
      <c r="C11" s="32" t="s">
        <v>652</v>
      </c>
      <c r="D11" s="32" t="s">
        <v>653</v>
      </c>
      <c r="E11" s="33" t="s">
        <v>175</v>
      </c>
      <c r="F11" s="34" t="n">
        <v>0</v>
      </c>
    </row>
    <row r="14" customFormat="false" ht="15" hidden="false" customHeight="true" outlineLevel="0" collapsed="false">
      <c r="B14" s="37" t="s">
        <v>145</v>
      </c>
      <c r="C14" s="38" t="s">
        <v>146</v>
      </c>
      <c r="D14" s="38"/>
    </row>
    <row r="15" customFormat="false" ht="15" hidden="false" customHeight="true" outlineLevel="0" collapsed="false">
      <c r="B15" s="39" t="s">
        <v>147</v>
      </c>
      <c r="C15" s="40" t="s">
        <v>148</v>
      </c>
      <c r="D15" s="40"/>
    </row>
    <row r="16" customFormat="false" ht="15" hidden="false" customHeight="true" outlineLevel="0" collapsed="false">
      <c r="B16" s="39" t="s">
        <v>149</v>
      </c>
      <c r="C16" s="40" t="s">
        <v>584</v>
      </c>
      <c r="D16" s="40"/>
    </row>
    <row r="17" customFormat="false" ht="15" hidden="false" customHeight="true" outlineLevel="0" collapsed="false">
      <c r="B17" s="41" t="s">
        <v>151</v>
      </c>
      <c r="C17" s="42" t="s">
        <v>152</v>
      </c>
      <c r="D17" s="42"/>
    </row>
    <row r="20" customFormat="false" ht="15" hidden="false" customHeight="false" outlineLevel="0" collapsed="false">
      <c r="B20" s="43" t="s">
        <v>153</v>
      </c>
      <c r="C20" s="43"/>
    </row>
    <row r="21" customFormat="false" ht="15" hidden="false" customHeight="false" outlineLevel="0" collapsed="false">
      <c r="B21" s="44" t="s">
        <v>154</v>
      </c>
      <c r="C21" s="45" t="s">
        <v>155</v>
      </c>
    </row>
    <row r="22" customFormat="false" ht="15" hidden="false" customHeight="false" outlineLevel="0" collapsed="false">
      <c r="B22" s="46" t="s">
        <v>156</v>
      </c>
      <c r="C22" s="45" t="s">
        <v>157</v>
      </c>
    </row>
    <row r="23" customFormat="false" ht="15" hidden="false" customHeight="false" outlineLevel="0" collapsed="false">
      <c r="B23" s="47" t="s">
        <v>158</v>
      </c>
      <c r="C23" s="48" t="s">
        <v>159</v>
      </c>
    </row>
    <row r="26" customFormat="false" ht="30" hidden="false" customHeight="true" outlineLevel="0" collapsed="false">
      <c r="B26" s="49" t="s">
        <v>160</v>
      </c>
      <c r="C26" s="50"/>
      <c r="D26" s="50"/>
    </row>
  </sheetData>
  <mergeCells count="8">
    <mergeCell ref="B3:F3"/>
    <mergeCell ref="B4:F4"/>
    <mergeCell ref="C14:D14"/>
    <mergeCell ref="C15:D15"/>
    <mergeCell ref="C16:D16"/>
    <mergeCell ref="C17:D17"/>
    <mergeCell ref="B20:C20"/>
    <mergeCell ref="C26:D26"/>
  </mergeCells>
  <conditionalFormatting sqref="F6:F11">
    <cfRule type="cellIs" priority="2" operator="greaterThanOrEqual" aboveAverage="0" equalAverage="0" bottom="0" percent="0" rank="0" text="" dxfId="2">
      <formula>1</formula>
    </cfRule>
    <cfRule type="cellIs" priority="3" operator="between" aboveAverage="0" equalAverage="0" bottom="0" percent="0" rank="0" text="" dxfId="1">
      <formula>0.01</formula>
      <formula>0.99</formula>
    </cfRule>
  </conditionalFormatting>
  <dataValidations count="2">
    <dataValidation allowBlank="false" error="Captura 0%, 50% o 100%." errorStyle="stop" errorTitle="Avance" operator="between" showDropDown="false" showErrorMessage="true" showInputMessage="false" sqref="F6:F11" type="decimal">
      <formula1>0</formula1>
      <formula2>1</formula2>
    </dataValidation>
    <dataValidation allowBlank="false" errorStyle="stop" operator="between" showDropDown="false" showErrorMessage="false" showInputMessage="false" sqref="E6:E11" type="list">
      <formula1>"Alta,Media,Baja"</formula1>
      <formula2>0</formula2>
    </dataValidation>
  </dataValidations>
  <hyperlinks>
    <hyperlink ref="B1" r:id="rId1" location="'Índice'!A1" display="← Índice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2026-09-29T01:57:36Z</dcterms:created>
  <dc:creator>openpyxl</dc:creator>
  <dc:description/>
  <dc:language>en-US</dc:language>
  <cp:lastModifiedBy/>
  <dcterms:modified xsi:type="dcterms:W3CDTF">2026-09-29T01:57:37Z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